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gang\Projek\Review Prosedur\web-app\"/>
    </mc:Choice>
  </mc:AlternateContent>
  <xr:revisionPtr revIDLastSave="0" documentId="13_ncr:1_{3FA6E500-5A04-4B2B-8BFA-0E2187235B6F}" xr6:coauthVersionLast="47" xr6:coauthVersionMax="47" xr10:uidLastSave="{00000000-0000-0000-0000-000000000000}"/>
  <bookViews>
    <workbookView xWindow="20" yWindow="20" windowWidth="19180" windowHeight="11980" activeTab="2" xr2:uid="{00000000-000D-0000-FFFF-FFFF00000000}"/>
  </bookViews>
  <sheets>
    <sheet name="Matrik Approval_OLD" sheetId="1" r:id="rId1"/>
    <sheet name="Matrik Approval NEW" sheetId="2" r:id="rId2"/>
    <sheet name="list PIC" sheetId="4" r:id="rId3"/>
  </sheets>
  <externalReferences>
    <externalReference r:id="rId4"/>
  </externalReferences>
  <definedNames>
    <definedName name="_xlnm._FilterDatabase" localSheetId="1" hidden="1">'Matrik Approval NEW'!$A$2:$N$254</definedName>
    <definedName name="_xlnm._FilterDatabase" localSheetId="0" hidden="1">'Matrik Approval_OLD'!$A$1:$I$253</definedName>
    <definedName name="_xlnm.Print_Area" localSheetId="1">'Matrik Approval NEW'!$A$1:$AZ$254</definedName>
    <definedName name="_xlnm.Print_Area" localSheetId="0">'Matrik Approval_OLD'!$A$1:$U$253</definedName>
    <definedName name="_xlnm.Print_Titles" localSheetId="1">'Matrik Approval NEW'!$2:$2</definedName>
    <definedName name="_xlnm.Print_Titles" localSheetId="0">'Matrik Approval_OLD'!$1:$1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4" l="1"/>
  <c r="P254" i="2" l="1"/>
  <c r="O254" i="2"/>
  <c r="L254" i="2"/>
  <c r="I254" i="2"/>
  <c r="Y253" i="2"/>
  <c r="X253" i="2"/>
  <c r="V253" i="2"/>
  <c r="U253" i="2"/>
  <c r="P253" i="2"/>
  <c r="O253" i="2"/>
  <c r="L253" i="2"/>
  <c r="P252" i="2"/>
  <c r="O252" i="2"/>
  <c r="L252" i="2"/>
  <c r="I252" i="2"/>
  <c r="P251" i="2"/>
  <c r="O251" i="2"/>
  <c r="L251" i="2"/>
  <c r="I251" i="2"/>
  <c r="P250" i="2"/>
  <c r="O250" i="2"/>
  <c r="L250" i="2"/>
  <c r="I250" i="2"/>
  <c r="P249" i="2"/>
  <c r="O249" i="2"/>
  <c r="L249" i="2"/>
  <c r="I249" i="2"/>
  <c r="P248" i="2"/>
  <c r="O248" i="2"/>
  <c r="L248" i="2"/>
  <c r="P247" i="2"/>
  <c r="O247" i="2"/>
  <c r="M247" i="2"/>
  <c r="L247" i="2"/>
  <c r="I247" i="2"/>
  <c r="P246" i="2"/>
  <c r="O246" i="2"/>
  <c r="M246" i="2"/>
  <c r="L246" i="2"/>
  <c r="I246" i="2"/>
  <c r="P245" i="2"/>
  <c r="O245" i="2"/>
  <c r="L245" i="2"/>
  <c r="P244" i="2"/>
  <c r="O244" i="2"/>
  <c r="L244" i="2"/>
  <c r="P243" i="2"/>
  <c r="O243" i="2"/>
  <c r="M243" i="2"/>
  <c r="L243" i="2"/>
  <c r="I243" i="2"/>
  <c r="P242" i="2"/>
  <c r="O242" i="2"/>
  <c r="M242" i="2"/>
  <c r="L242" i="2"/>
  <c r="I242" i="2"/>
  <c r="P241" i="2"/>
  <c r="O241" i="2"/>
  <c r="M241" i="2"/>
  <c r="L241" i="2"/>
  <c r="I241" i="2"/>
  <c r="Y240" i="2"/>
  <c r="X240" i="2"/>
  <c r="V240" i="2"/>
  <c r="U240" i="2"/>
  <c r="S240" i="2"/>
  <c r="R240" i="2"/>
  <c r="P240" i="2"/>
  <c r="O240" i="2"/>
  <c r="L240" i="2"/>
  <c r="P239" i="2"/>
  <c r="O239" i="2"/>
  <c r="M239" i="2"/>
  <c r="L239" i="2"/>
  <c r="I239" i="2"/>
  <c r="P238" i="2"/>
  <c r="O238" i="2"/>
  <c r="L238" i="2"/>
  <c r="P237" i="2"/>
  <c r="O237" i="2"/>
  <c r="L237" i="2"/>
  <c r="P236" i="2"/>
  <c r="O236" i="2"/>
  <c r="L236" i="2"/>
  <c r="P235" i="2"/>
  <c r="O235" i="2"/>
  <c r="L235" i="2"/>
  <c r="I235" i="2"/>
  <c r="P234" i="2"/>
  <c r="O234" i="2"/>
  <c r="M234" i="2"/>
  <c r="L234" i="2"/>
  <c r="I234" i="2"/>
  <c r="P233" i="2"/>
  <c r="O233" i="2"/>
  <c r="M233" i="2"/>
  <c r="L233" i="2"/>
  <c r="I233" i="2"/>
  <c r="P232" i="2"/>
  <c r="O232" i="2"/>
  <c r="M232" i="2"/>
  <c r="L232" i="2"/>
  <c r="I232" i="2"/>
  <c r="P231" i="2"/>
  <c r="O231" i="2"/>
  <c r="M231" i="2"/>
  <c r="L231" i="2"/>
  <c r="I231" i="2"/>
  <c r="P230" i="2"/>
  <c r="O230" i="2"/>
  <c r="M230" i="2"/>
  <c r="L230" i="2"/>
  <c r="I230" i="2"/>
  <c r="P229" i="2"/>
  <c r="O229" i="2"/>
  <c r="M229" i="2"/>
  <c r="L229" i="2"/>
  <c r="I229" i="2"/>
  <c r="P228" i="2"/>
  <c r="O228" i="2"/>
  <c r="L228" i="2"/>
  <c r="Y227" i="2"/>
  <c r="X227" i="2"/>
  <c r="V227" i="2"/>
  <c r="U227" i="2"/>
  <c r="S227" i="2"/>
  <c r="R227" i="2"/>
  <c r="P227" i="2"/>
  <c r="O227" i="2"/>
  <c r="L227" i="2"/>
  <c r="P226" i="2"/>
  <c r="O226" i="2"/>
  <c r="M226" i="2"/>
  <c r="L226" i="2"/>
  <c r="I226" i="2"/>
  <c r="P225" i="2"/>
  <c r="O225" i="2"/>
  <c r="M225" i="2"/>
  <c r="L225" i="2"/>
  <c r="I225" i="2"/>
  <c r="P224" i="2"/>
  <c r="O224" i="2"/>
  <c r="M224" i="2"/>
  <c r="L224" i="2"/>
  <c r="I224" i="2"/>
  <c r="P223" i="2"/>
  <c r="O223" i="2"/>
  <c r="M223" i="2"/>
  <c r="L223" i="2"/>
  <c r="I223" i="2"/>
  <c r="P222" i="2"/>
  <c r="O222" i="2"/>
  <c r="M222" i="2"/>
  <c r="L222" i="2"/>
  <c r="I222" i="2"/>
  <c r="P221" i="2"/>
  <c r="O221" i="2"/>
  <c r="M221" i="2"/>
  <c r="L221" i="2"/>
  <c r="I221" i="2"/>
  <c r="P220" i="2"/>
  <c r="O220" i="2"/>
  <c r="M220" i="2"/>
  <c r="L220" i="2"/>
  <c r="I220" i="2"/>
  <c r="P219" i="2"/>
  <c r="O219" i="2"/>
  <c r="M219" i="2"/>
  <c r="L219" i="2"/>
  <c r="I219" i="2"/>
  <c r="P218" i="2"/>
  <c r="O218" i="2"/>
  <c r="L218" i="2"/>
  <c r="P217" i="2"/>
  <c r="O217" i="2"/>
  <c r="L217" i="2"/>
  <c r="P216" i="2"/>
  <c r="O216" i="2"/>
  <c r="L216" i="2"/>
  <c r="Y215" i="2"/>
  <c r="X215" i="2"/>
  <c r="V215" i="2"/>
  <c r="U215" i="2"/>
  <c r="S215" i="2"/>
  <c r="R215" i="2"/>
  <c r="P215" i="2"/>
  <c r="O215" i="2"/>
  <c r="L215" i="2"/>
  <c r="I215" i="2"/>
  <c r="Y214" i="2"/>
  <c r="X214" i="2"/>
  <c r="V214" i="2"/>
  <c r="U214" i="2"/>
  <c r="S214" i="2"/>
  <c r="R214" i="2"/>
  <c r="P214" i="2"/>
  <c r="O214" i="2"/>
  <c r="L214" i="2"/>
  <c r="I214" i="2"/>
  <c r="P213" i="2"/>
  <c r="O213" i="2"/>
  <c r="L213" i="2"/>
  <c r="P212" i="2"/>
  <c r="O212" i="2"/>
  <c r="L212" i="2"/>
  <c r="I212" i="2"/>
  <c r="P211" i="2"/>
  <c r="O211" i="2"/>
  <c r="L211" i="2"/>
  <c r="I211" i="2"/>
  <c r="P210" i="2"/>
  <c r="O210" i="2"/>
  <c r="L210" i="2"/>
  <c r="J210" i="2"/>
  <c r="I210" i="2"/>
  <c r="P209" i="2"/>
  <c r="O209" i="2"/>
  <c r="M209" i="2"/>
  <c r="L209" i="2"/>
  <c r="I209" i="2"/>
  <c r="Y208" i="2"/>
  <c r="X208" i="2"/>
  <c r="V208" i="2"/>
  <c r="U208" i="2"/>
  <c r="S208" i="2"/>
  <c r="R208" i="2"/>
  <c r="P208" i="2"/>
  <c r="O208" i="2"/>
  <c r="L208" i="2"/>
  <c r="I208" i="2"/>
  <c r="P207" i="2"/>
  <c r="O207" i="2"/>
  <c r="L207" i="2"/>
  <c r="P206" i="2"/>
  <c r="O206" i="2"/>
  <c r="L206" i="2"/>
  <c r="P205" i="2"/>
  <c r="O205" i="2"/>
  <c r="L205" i="2"/>
  <c r="P204" i="2"/>
  <c r="O204" i="2"/>
  <c r="L204" i="2"/>
  <c r="I204" i="2"/>
  <c r="P203" i="2"/>
  <c r="O203" i="2"/>
  <c r="L203" i="2"/>
  <c r="I203" i="2"/>
  <c r="P202" i="2"/>
  <c r="O202" i="2"/>
  <c r="L202" i="2"/>
  <c r="I202" i="2"/>
  <c r="P201" i="2"/>
  <c r="O201" i="2"/>
  <c r="L201" i="2"/>
  <c r="I201" i="2"/>
  <c r="P200" i="2"/>
  <c r="O200" i="2"/>
  <c r="L200" i="2"/>
  <c r="I200" i="2"/>
  <c r="P199" i="2"/>
  <c r="O199" i="2"/>
  <c r="L199" i="2"/>
  <c r="I199" i="2"/>
  <c r="P198" i="2"/>
  <c r="O198" i="2"/>
  <c r="L198" i="2"/>
  <c r="I198" i="2"/>
  <c r="P197" i="2"/>
  <c r="O197" i="2"/>
  <c r="L197" i="2"/>
  <c r="P196" i="2"/>
  <c r="O196" i="2"/>
  <c r="L196" i="2"/>
  <c r="Y195" i="2"/>
  <c r="X195" i="2"/>
  <c r="V195" i="2"/>
  <c r="U195" i="2"/>
  <c r="P195" i="2"/>
  <c r="O195" i="2"/>
  <c r="L195" i="2"/>
  <c r="P194" i="2"/>
  <c r="O194" i="2"/>
  <c r="L194" i="2"/>
  <c r="P193" i="2"/>
  <c r="O193" i="2"/>
  <c r="L193" i="2"/>
  <c r="P192" i="2"/>
  <c r="O192" i="2"/>
  <c r="L192" i="2"/>
  <c r="P191" i="2"/>
  <c r="O191" i="2"/>
  <c r="L191" i="2"/>
  <c r="Y190" i="2"/>
  <c r="X190" i="2"/>
  <c r="V190" i="2"/>
  <c r="U190" i="2"/>
  <c r="P190" i="2"/>
  <c r="O190" i="2"/>
  <c r="L190" i="2"/>
  <c r="P189" i="2"/>
  <c r="O189" i="2"/>
  <c r="L189" i="2"/>
  <c r="P188" i="2"/>
  <c r="O188" i="2"/>
  <c r="L188" i="2"/>
  <c r="P187" i="2"/>
  <c r="O187" i="2"/>
  <c r="L187" i="2"/>
  <c r="P186" i="2"/>
  <c r="O186" i="2"/>
  <c r="L186" i="2"/>
  <c r="Y185" i="2"/>
  <c r="X185" i="2"/>
  <c r="V185" i="2"/>
  <c r="U185" i="2"/>
  <c r="P185" i="2"/>
  <c r="O185" i="2"/>
  <c r="L185" i="2"/>
  <c r="P184" i="2"/>
  <c r="O184" i="2"/>
  <c r="L184" i="2"/>
  <c r="P183" i="2"/>
  <c r="O183" i="2"/>
  <c r="L183" i="2"/>
  <c r="P182" i="2"/>
  <c r="O182" i="2"/>
  <c r="L182" i="2"/>
  <c r="P181" i="2"/>
  <c r="O181" i="2"/>
  <c r="L181" i="2"/>
  <c r="Y180" i="2"/>
  <c r="X180" i="2"/>
  <c r="V180" i="2"/>
  <c r="U180" i="2"/>
  <c r="P180" i="2"/>
  <c r="O180" i="2"/>
  <c r="L180" i="2"/>
  <c r="P179" i="2"/>
  <c r="O179" i="2"/>
  <c r="L179" i="2"/>
  <c r="P178" i="2"/>
  <c r="O178" i="2"/>
  <c r="L178" i="2"/>
  <c r="P177" i="2"/>
  <c r="O177" i="2"/>
  <c r="L177" i="2"/>
  <c r="P176" i="2"/>
  <c r="O176" i="2"/>
  <c r="L176" i="2"/>
  <c r="Y175" i="2"/>
  <c r="X175" i="2"/>
  <c r="V175" i="2"/>
  <c r="U175" i="2"/>
  <c r="P175" i="2"/>
  <c r="O175" i="2"/>
  <c r="L175" i="2"/>
  <c r="Y174" i="2"/>
  <c r="X174" i="2"/>
  <c r="V174" i="2"/>
  <c r="U174" i="2"/>
  <c r="P174" i="2"/>
  <c r="O174" i="2"/>
  <c r="L174" i="2"/>
  <c r="P173" i="2"/>
  <c r="O173" i="2"/>
  <c r="L173" i="2"/>
  <c r="I173" i="2"/>
  <c r="P172" i="2"/>
  <c r="O172" i="2"/>
  <c r="L172" i="2"/>
  <c r="I172" i="2"/>
  <c r="P171" i="2"/>
  <c r="O171" i="2"/>
  <c r="L171" i="2"/>
  <c r="I171" i="2"/>
  <c r="P170" i="2"/>
  <c r="O170" i="2"/>
  <c r="L170" i="2"/>
  <c r="P169" i="2"/>
  <c r="O169" i="2"/>
  <c r="L169" i="2"/>
  <c r="I169" i="2"/>
  <c r="Y168" i="2"/>
  <c r="X168" i="2"/>
  <c r="V168" i="2"/>
  <c r="U168" i="2"/>
  <c r="P168" i="2"/>
  <c r="O168" i="2"/>
  <c r="L168" i="2"/>
  <c r="I168" i="2"/>
  <c r="P167" i="2"/>
  <c r="O167" i="2"/>
  <c r="L167" i="2"/>
  <c r="P166" i="2"/>
  <c r="O166" i="2"/>
  <c r="L166" i="2"/>
  <c r="I166" i="2"/>
  <c r="P165" i="2"/>
  <c r="O165" i="2"/>
  <c r="L165" i="2"/>
  <c r="I165" i="2"/>
  <c r="Y164" i="2"/>
  <c r="X164" i="2"/>
  <c r="V164" i="2"/>
  <c r="U164" i="2"/>
  <c r="P164" i="2"/>
  <c r="O164" i="2"/>
  <c r="L164" i="2"/>
  <c r="I164" i="2"/>
  <c r="P163" i="2"/>
  <c r="O163" i="2"/>
  <c r="L163" i="2"/>
  <c r="I163" i="2"/>
  <c r="P162" i="2"/>
  <c r="O162" i="2"/>
  <c r="L162" i="2"/>
  <c r="I162" i="2"/>
  <c r="P161" i="2"/>
  <c r="O161" i="2"/>
  <c r="L161" i="2"/>
  <c r="I161" i="2"/>
  <c r="P160" i="2"/>
  <c r="O160" i="2"/>
  <c r="L160" i="2"/>
  <c r="P159" i="2"/>
  <c r="O159" i="2"/>
  <c r="L159" i="2"/>
  <c r="I159" i="2"/>
  <c r="P158" i="2"/>
  <c r="O158" i="2"/>
  <c r="L158" i="2"/>
  <c r="I158" i="2"/>
  <c r="P157" i="2"/>
  <c r="O157" i="2"/>
  <c r="L157" i="2"/>
  <c r="I157" i="2"/>
  <c r="Y156" i="2"/>
  <c r="X156" i="2"/>
  <c r="V156" i="2"/>
  <c r="U156" i="2"/>
  <c r="P156" i="2"/>
  <c r="O156" i="2"/>
  <c r="L156" i="2"/>
  <c r="I156" i="2"/>
  <c r="Y155" i="2"/>
  <c r="X155" i="2"/>
  <c r="V155" i="2"/>
  <c r="U155" i="2"/>
  <c r="P155" i="2"/>
  <c r="O155" i="2"/>
  <c r="L155" i="2"/>
  <c r="I155" i="2"/>
  <c r="Y154" i="2"/>
  <c r="X154" i="2"/>
  <c r="V154" i="2"/>
  <c r="U154" i="2"/>
  <c r="P154" i="2"/>
  <c r="O154" i="2"/>
  <c r="L154" i="2"/>
  <c r="I154" i="2"/>
  <c r="P153" i="2"/>
  <c r="O153" i="2"/>
  <c r="L153" i="2"/>
  <c r="I153" i="2"/>
  <c r="P152" i="2"/>
  <c r="O152" i="2"/>
  <c r="L152" i="2"/>
  <c r="I152" i="2"/>
  <c r="P151" i="2"/>
  <c r="O151" i="2"/>
  <c r="L151" i="2"/>
  <c r="I151" i="2"/>
  <c r="P150" i="2"/>
  <c r="O150" i="2"/>
  <c r="L150" i="2"/>
  <c r="I150" i="2"/>
  <c r="P149" i="2"/>
  <c r="O149" i="2"/>
  <c r="L149" i="2"/>
  <c r="I149" i="2"/>
  <c r="P148" i="2"/>
  <c r="O148" i="2"/>
  <c r="L148" i="2"/>
  <c r="I148" i="2"/>
  <c r="Y147" i="2"/>
  <c r="X147" i="2"/>
  <c r="V147" i="2"/>
  <c r="U147" i="2"/>
  <c r="P147" i="2"/>
  <c r="O147" i="2"/>
  <c r="L147" i="2"/>
  <c r="I147" i="2"/>
  <c r="P146" i="2"/>
  <c r="O146" i="2"/>
  <c r="L146" i="2"/>
  <c r="I146" i="2"/>
  <c r="P145" i="2"/>
  <c r="O145" i="2"/>
  <c r="L145" i="2"/>
  <c r="P144" i="2"/>
  <c r="O144" i="2"/>
  <c r="L144" i="2"/>
  <c r="Y143" i="2"/>
  <c r="X143" i="2"/>
  <c r="V143" i="2"/>
  <c r="U143" i="2"/>
  <c r="P143" i="2"/>
  <c r="O143" i="2"/>
  <c r="L143" i="2"/>
  <c r="I143" i="2"/>
  <c r="P142" i="2"/>
  <c r="O142" i="2"/>
  <c r="L142" i="2"/>
  <c r="Y141" i="2"/>
  <c r="X141" i="2"/>
  <c r="V141" i="2"/>
  <c r="U141" i="2"/>
  <c r="P141" i="2"/>
  <c r="O141" i="2"/>
  <c r="L141" i="2"/>
  <c r="I141" i="2"/>
  <c r="P140" i="2"/>
  <c r="O140" i="2"/>
  <c r="M140" i="2"/>
  <c r="L140" i="2"/>
  <c r="P139" i="2"/>
  <c r="O139" i="2"/>
  <c r="M139" i="2"/>
  <c r="L139" i="2"/>
  <c r="J139" i="2"/>
  <c r="I139" i="2"/>
  <c r="P138" i="2"/>
  <c r="O138" i="2"/>
  <c r="M138" i="2"/>
  <c r="L138" i="2"/>
  <c r="J138" i="2"/>
  <c r="I138" i="2"/>
  <c r="P137" i="2"/>
  <c r="O137" i="2"/>
  <c r="M137" i="2"/>
  <c r="L137" i="2"/>
  <c r="J137" i="2"/>
  <c r="I137" i="2"/>
  <c r="P136" i="2"/>
  <c r="O136" i="2"/>
  <c r="M136" i="2"/>
  <c r="L136" i="2"/>
  <c r="P135" i="2"/>
  <c r="O135" i="2"/>
  <c r="L135" i="2"/>
  <c r="P134" i="2"/>
  <c r="O134" i="2"/>
  <c r="L134" i="2"/>
  <c r="I134" i="2"/>
  <c r="P133" i="2"/>
  <c r="O133" i="2"/>
  <c r="M133" i="2"/>
  <c r="L133" i="2"/>
  <c r="P132" i="2"/>
  <c r="O132" i="2"/>
  <c r="M132" i="2"/>
  <c r="L132" i="2"/>
  <c r="P131" i="2"/>
  <c r="O131" i="2"/>
  <c r="L131" i="2"/>
  <c r="I131" i="2"/>
  <c r="P130" i="2"/>
  <c r="O130" i="2"/>
  <c r="M130" i="2"/>
  <c r="L130" i="2"/>
  <c r="I130" i="2"/>
  <c r="P129" i="2"/>
  <c r="O129" i="2"/>
  <c r="M129" i="2"/>
  <c r="L129" i="2"/>
  <c r="P128" i="2"/>
  <c r="O128" i="2"/>
  <c r="L128" i="2"/>
  <c r="I128" i="2"/>
  <c r="P127" i="2"/>
  <c r="O127" i="2"/>
  <c r="L127" i="2"/>
  <c r="I127" i="2"/>
  <c r="P126" i="2"/>
  <c r="O126" i="2"/>
  <c r="M126" i="2"/>
  <c r="L126" i="2"/>
  <c r="J126" i="2"/>
  <c r="I126" i="2"/>
  <c r="P125" i="2"/>
  <c r="O125" i="2"/>
  <c r="M125" i="2"/>
  <c r="L125" i="2"/>
  <c r="J125" i="2"/>
  <c r="I125" i="2"/>
  <c r="P124" i="2"/>
  <c r="O124" i="2"/>
  <c r="M124" i="2"/>
  <c r="L124" i="2"/>
  <c r="P123" i="2"/>
  <c r="O123" i="2"/>
  <c r="L123" i="2"/>
  <c r="I123" i="2"/>
  <c r="P122" i="2"/>
  <c r="O122" i="2"/>
  <c r="L122" i="2"/>
  <c r="I122" i="2"/>
  <c r="P121" i="2"/>
  <c r="O121" i="2"/>
  <c r="L121" i="2"/>
  <c r="I121" i="2"/>
  <c r="P120" i="2"/>
  <c r="O120" i="2"/>
  <c r="L120" i="2"/>
  <c r="I120" i="2"/>
  <c r="P119" i="2"/>
  <c r="O119" i="2"/>
  <c r="L119" i="2"/>
  <c r="I119" i="2"/>
  <c r="P118" i="2"/>
  <c r="O118" i="2"/>
  <c r="M118" i="2"/>
  <c r="L118" i="2"/>
  <c r="AZ117" i="2"/>
  <c r="AY117" i="2"/>
  <c r="AW117" i="2"/>
  <c r="AV117" i="2"/>
  <c r="AT117" i="2"/>
  <c r="AS117" i="2"/>
  <c r="AQ117" i="2"/>
  <c r="AP117" i="2"/>
  <c r="AN117" i="2"/>
  <c r="AM117" i="2"/>
  <c r="AK117" i="2"/>
  <c r="AJ117" i="2"/>
  <c r="AH117" i="2"/>
  <c r="AG117" i="2"/>
  <c r="AE117" i="2"/>
  <c r="AD117" i="2"/>
  <c r="AB117" i="2"/>
  <c r="AA117" i="2"/>
  <c r="Y117" i="2"/>
  <c r="X117" i="2"/>
  <c r="V117" i="2"/>
  <c r="U117" i="2"/>
  <c r="S117" i="2"/>
  <c r="R117" i="2"/>
  <c r="P117" i="2"/>
  <c r="O117" i="2"/>
  <c r="L117" i="2"/>
  <c r="I117" i="2"/>
  <c r="Y116" i="2"/>
  <c r="X116" i="2"/>
  <c r="V116" i="2"/>
  <c r="U116" i="2"/>
  <c r="S116" i="2"/>
  <c r="R116" i="2"/>
  <c r="P116" i="2"/>
  <c r="O116" i="2"/>
  <c r="L116" i="2"/>
  <c r="I116" i="2"/>
  <c r="P115" i="2"/>
  <c r="O115" i="2"/>
  <c r="L115" i="2"/>
  <c r="I115" i="2"/>
  <c r="P114" i="2"/>
  <c r="O114" i="2"/>
  <c r="M114" i="2"/>
  <c r="L114" i="2"/>
  <c r="I114" i="2"/>
  <c r="P113" i="2"/>
  <c r="O113" i="2"/>
  <c r="L113" i="2"/>
  <c r="I113" i="2"/>
  <c r="P112" i="2"/>
  <c r="O112" i="2"/>
  <c r="M112" i="2"/>
  <c r="L112" i="2"/>
  <c r="I112" i="2"/>
  <c r="P111" i="2"/>
  <c r="O111" i="2"/>
  <c r="L111" i="2"/>
  <c r="I111" i="2"/>
  <c r="P110" i="2"/>
  <c r="O110" i="2"/>
  <c r="M110" i="2"/>
  <c r="L110" i="2"/>
  <c r="J110" i="2"/>
  <c r="I110" i="2"/>
  <c r="P109" i="2"/>
  <c r="O109" i="2"/>
  <c r="M109" i="2"/>
  <c r="L109" i="2"/>
  <c r="I109" i="2"/>
  <c r="P108" i="2"/>
  <c r="O108" i="2"/>
  <c r="M108" i="2"/>
  <c r="L108" i="2"/>
  <c r="J108" i="2"/>
  <c r="I108" i="2"/>
  <c r="P107" i="2"/>
  <c r="O107" i="2"/>
  <c r="M107" i="2"/>
  <c r="L107" i="2"/>
  <c r="I107" i="2"/>
  <c r="P106" i="2"/>
  <c r="O106" i="2"/>
  <c r="M106" i="2"/>
  <c r="L106" i="2"/>
  <c r="I106" i="2"/>
  <c r="P105" i="2"/>
  <c r="O105" i="2"/>
  <c r="M105" i="2"/>
  <c r="L105" i="2"/>
  <c r="I105" i="2"/>
  <c r="P104" i="2"/>
  <c r="O104" i="2"/>
  <c r="M104" i="2"/>
  <c r="L104" i="2"/>
  <c r="I104" i="2"/>
  <c r="P103" i="2"/>
  <c r="O103" i="2"/>
  <c r="M103" i="2"/>
  <c r="L103" i="2"/>
  <c r="I103" i="2"/>
  <c r="P102" i="2"/>
  <c r="O102" i="2"/>
  <c r="M102" i="2"/>
  <c r="L102" i="2"/>
  <c r="J102" i="2"/>
  <c r="I102" i="2"/>
  <c r="P101" i="2"/>
  <c r="O101" i="2"/>
  <c r="L101" i="2"/>
  <c r="P100" i="2"/>
  <c r="O100" i="2"/>
  <c r="M100" i="2"/>
  <c r="L100" i="2"/>
  <c r="I100" i="2"/>
  <c r="P99" i="2"/>
  <c r="O99" i="2"/>
  <c r="L99" i="2"/>
  <c r="P98" i="2"/>
  <c r="O98" i="2"/>
  <c r="L98" i="2"/>
  <c r="P97" i="2"/>
  <c r="O97" i="2"/>
  <c r="L97" i="2"/>
  <c r="P96" i="2"/>
  <c r="O96" i="2"/>
  <c r="L96" i="2"/>
  <c r="I96" i="2"/>
  <c r="P95" i="2"/>
  <c r="O95" i="2"/>
  <c r="L95" i="2"/>
  <c r="I95" i="2"/>
  <c r="P94" i="2"/>
  <c r="O94" i="2"/>
  <c r="L94" i="2"/>
  <c r="P93" i="2"/>
  <c r="O93" i="2"/>
  <c r="L93" i="2"/>
  <c r="P92" i="2"/>
  <c r="O92" i="2"/>
  <c r="L92" i="2"/>
  <c r="P91" i="2"/>
  <c r="O91" i="2"/>
  <c r="L91" i="2"/>
  <c r="P90" i="2"/>
  <c r="O90" i="2"/>
  <c r="L90" i="2"/>
  <c r="P89" i="2"/>
  <c r="O89" i="2"/>
  <c r="L89" i="2"/>
  <c r="I89" i="2"/>
  <c r="P88" i="2"/>
  <c r="O88" i="2"/>
  <c r="L88" i="2"/>
  <c r="I88" i="2"/>
  <c r="P87" i="2"/>
  <c r="O87" i="2"/>
  <c r="L87" i="2"/>
  <c r="P86" i="2"/>
  <c r="O86" i="2"/>
  <c r="L86" i="2"/>
  <c r="P85" i="2"/>
  <c r="O85" i="2"/>
  <c r="M85" i="2"/>
  <c r="L85" i="2"/>
  <c r="J85" i="2"/>
  <c r="I85" i="2"/>
  <c r="P84" i="2"/>
  <c r="O84" i="2"/>
  <c r="L84" i="2"/>
  <c r="I84" i="2"/>
  <c r="P83" i="2"/>
  <c r="O83" i="2"/>
  <c r="L83" i="2"/>
  <c r="I83" i="2"/>
  <c r="P82" i="2"/>
  <c r="O82" i="2"/>
  <c r="L82" i="2"/>
  <c r="I82" i="2"/>
  <c r="P81" i="2"/>
  <c r="O81" i="2"/>
  <c r="L81" i="2"/>
  <c r="I81" i="2"/>
  <c r="Y80" i="2"/>
  <c r="X80" i="2"/>
  <c r="V80" i="2"/>
  <c r="U80" i="2"/>
  <c r="S80" i="2"/>
  <c r="R80" i="2"/>
  <c r="P80" i="2"/>
  <c r="O80" i="2"/>
  <c r="L80" i="2"/>
  <c r="I80" i="2"/>
  <c r="P79" i="2"/>
  <c r="O79" i="2"/>
  <c r="L79" i="2"/>
  <c r="I79" i="2"/>
  <c r="P78" i="2"/>
  <c r="O78" i="2"/>
  <c r="M78" i="2"/>
  <c r="L78" i="2"/>
  <c r="J78" i="2"/>
  <c r="I78" i="2"/>
  <c r="P77" i="2"/>
  <c r="O77" i="2"/>
  <c r="L77" i="2"/>
  <c r="I77" i="2"/>
  <c r="P76" i="2"/>
  <c r="O76" i="2"/>
  <c r="M76" i="2"/>
  <c r="L76" i="2"/>
  <c r="J76" i="2"/>
  <c r="I76" i="2"/>
  <c r="P75" i="2"/>
  <c r="O75" i="2"/>
  <c r="M75" i="2"/>
  <c r="L75" i="2"/>
  <c r="J75" i="2"/>
  <c r="I75" i="2"/>
  <c r="P74" i="2"/>
  <c r="O74" i="2"/>
  <c r="M74" i="2"/>
  <c r="L74" i="2"/>
  <c r="J74" i="2"/>
  <c r="I74" i="2"/>
  <c r="P73" i="2"/>
  <c r="O73" i="2"/>
  <c r="L73" i="2"/>
  <c r="P72" i="2"/>
  <c r="O72" i="2"/>
  <c r="L72" i="2"/>
  <c r="I72" i="2"/>
  <c r="P71" i="2"/>
  <c r="O71" i="2"/>
  <c r="L71" i="2"/>
  <c r="I71" i="2"/>
  <c r="P70" i="2"/>
  <c r="O70" i="2"/>
  <c r="L70" i="2"/>
  <c r="I70" i="2"/>
  <c r="P69" i="2"/>
  <c r="O69" i="2"/>
  <c r="L69" i="2"/>
  <c r="P68" i="2"/>
  <c r="O68" i="2"/>
  <c r="L68" i="2"/>
  <c r="P67" i="2"/>
  <c r="O67" i="2"/>
  <c r="L67" i="2"/>
  <c r="I67" i="2"/>
  <c r="P66" i="2"/>
  <c r="O66" i="2"/>
  <c r="L66" i="2"/>
  <c r="I66" i="2"/>
  <c r="P65" i="2"/>
  <c r="O65" i="2"/>
  <c r="L65" i="2"/>
  <c r="P64" i="2"/>
  <c r="O64" i="2"/>
  <c r="L64" i="2"/>
  <c r="I64" i="2"/>
  <c r="P63" i="2"/>
  <c r="O63" i="2"/>
  <c r="L63" i="2"/>
  <c r="P62" i="2"/>
  <c r="O62" i="2"/>
  <c r="L62" i="2"/>
  <c r="P61" i="2"/>
  <c r="O61" i="2"/>
  <c r="L61" i="2"/>
  <c r="I61" i="2"/>
  <c r="P60" i="2"/>
  <c r="O60" i="2"/>
  <c r="M60" i="2"/>
  <c r="L60" i="2"/>
  <c r="J60" i="2"/>
  <c r="I60" i="2"/>
  <c r="P59" i="2"/>
  <c r="O59" i="2"/>
  <c r="L59" i="2"/>
  <c r="I59" i="2"/>
  <c r="P58" i="2"/>
  <c r="O58" i="2"/>
  <c r="L58" i="2"/>
  <c r="I58" i="2"/>
  <c r="P57" i="2"/>
  <c r="O57" i="2"/>
  <c r="L57" i="2"/>
  <c r="I57" i="2"/>
  <c r="P56" i="2"/>
  <c r="O56" i="2"/>
  <c r="L56" i="2"/>
  <c r="I56" i="2"/>
  <c r="P55" i="2"/>
  <c r="O55" i="2"/>
  <c r="L55" i="2"/>
  <c r="I55" i="2"/>
  <c r="P54" i="2"/>
  <c r="O54" i="2"/>
  <c r="L54" i="2"/>
  <c r="I54" i="2"/>
  <c r="P53" i="2"/>
  <c r="O53" i="2"/>
  <c r="L53" i="2"/>
  <c r="I53" i="2"/>
  <c r="P52" i="2"/>
  <c r="O52" i="2"/>
  <c r="L52" i="2"/>
  <c r="I52" i="2"/>
  <c r="P51" i="2"/>
  <c r="O51" i="2"/>
  <c r="L51" i="2"/>
  <c r="I51" i="2"/>
  <c r="P50" i="2"/>
  <c r="O50" i="2"/>
  <c r="L50" i="2"/>
  <c r="I50" i="2"/>
  <c r="P49" i="2"/>
  <c r="O49" i="2"/>
  <c r="L49" i="2"/>
  <c r="I49" i="2"/>
  <c r="P48" i="2"/>
  <c r="O48" i="2"/>
  <c r="L48" i="2"/>
  <c r="I48" i="2"/>
  <c r="P47" i="2"/>
  <c r="O47" i="2"/>
  <c r="L47" i="2"/>
  <c r="I47" i="2"/>
  <c r="P46" i="2"/>
  <c r="O46" i="2"/>
  <c r="L46" i="2"/>
  <c r="I46" i="2"/>
  <c r="P45" i="2"/>
  <c r="O45" i="2"/>
  <c r="L45" i="2"/>
  <c r="I45" i="2"/>
  <c r="P44" i="2"/>
  <c r="O44" i="2"/>
  <c r="L44" i="2"/>
  <c r="I44" i="2"/>
  <c r="P43" i="2"/>
  <c r="O43" i="2"/>
  <c r="L43" i="2"/>
  <c r="I43" i="2"/>
  <c r="P42" i="2"/>
  <c r="O42" i="2"/>
  <c r="L42" i="2"/>
  <c r="I42" i="2"/>
  <c r="P41" i="2"/>
  <c r="O41" i="2"/>
  <c r="L41" i="2"/>
  <c r="I41" i="2"/>
  <c r="P40" i="2"/>
  <c r="O40" i="2"/>
  <c r="L40" i="2"/>
  <c r="I40" i="2"/>
  <c r="P39" i="2"/>
  <c r="O39" i="2"/>
  <c r="L39" i="2"/>
  <c r="I39" i="2"/>
  <c r="P38" i="2"/>
  <c r="O38" i="2"/>
  <c r="L38" i="2"/>
  <c r="Y37" i="2"/>
  <c r="X37" i="2"/>
  <c r="V37" i="2"/>
  <c r="U37" i="2"/>
  <c r="S37" i="2"/>
  <c r="R37" i="2"/>
  <c r="P37" i="2"/>
  <c r="O37" i="2"/>
  <c r="L37" i="2"/>
  <c r="I37" i="2"/>
  <c r="P36" i="2"/>
  <c r="O36" i="2"/>
  <c r="L36" i="2"/>
  <c r="P35" i="2"/>
  <c r="O35" i="2"/>
  <c r="L35" i="2"/>
  <c r="I35" i="2"/>
  <c r="P34" i="2"/>
  <c r="O34" i="2"/>
  <c r="L34" i="2"/>
  <c r="I34" i="2"/>
  <c r="P33" i="2"/>
  <c r="O33" i="2"/>
  <c r="L33" i="2"/>
  <c r="I33" i="2"/>
  <c r="P32" i="2"/>
  <c r="O32" i="2"/>
  <c r="L32" i="2"/>
  <c r="I32" i="2"/>
  <c r="P31" i="2"/>
  <c r="O31" i="2"/>
  <c r="L31" i="2"/>
  <c r="I31" i="2"/>
  <c r="P30" i="2"/>
  <c r="O30" i="2"/>
  <c r="L30" i="2"/>
  <c r="I30" i="2"/>
  <c r="P29" i="2"/>
  <c r="O29" i="2"/>
  <c r="L29" i="2"/>
  <c r="I29" i="2"/>
  <c r="P28" i="2"/>
  <c r="O28" i="2"/>
  <c r="L28" i="2"/>
  <c r="I28" i="2"/>
  <c r="P27" i="2"/>
  <c r="O27" i="2"/>
  <c r="L27" i="2"/>
  <c r="I27" i="2"/>
  <c r="P26" i="2"/>
  <c r="O26" i="2"/>
  <c r="L26" i="2"/>
  <c r="I26" i="2"/>
  <c r="P25" i="2"/>
  <c r="O25" i="2"/>
  <c r="L25" i="2"/>
  <c r="I25" i="2"/>
  <c r="Y24" i="2"/>
  <c r="X24" i="2"/>
  <c r="V24" i="2"/>
  <c r="U24" i="2"/>
  <c r="S24" i="2"/>
  <c r="R24" i="2"/>
  <c r="P24" i="2"/>
  <c r="O24" i="2"/>
  <c r="M24" i="2"/>
  <c r="L24" i="2"/>
  <c r="I24" i="2"/>
  <c r="P23" i="2"/>
  <c r="O23" i="2"/>
  <c r="L23" i="2"/>
  <c r="I23" i="2"/>
  <c r="P22" i="2"/>
  <c r="O22" i="2"/>
  <c r="L22" i="2"/>
  <c r="P21" i="2"/>
  <c r="O21" i="2"/>
  <c r="L21" i="2"/>
  <c r="I21" i="2"/>
  <c r="P20" i="2"/>
  <c r="O20" i="2"/>
  <c r="L20" i="2"/>
  <c r="Y19" i="2"/>
  <c r="X19" i="2"/>
  <c r="V19" i="2"/>
  <c r="U19" i="2"/>
  <c r="S19" i="2"/>
  <c r="R19" i="2"/>
  <c r="P19" i="2"/>
  <c r="O19" i="2"/>
  <c r="L19" i="2"/>
  <c r="I19" i="2"/>
  <c r="P18" i="2"/>
  <c r="O18" i="2"/>
  <c r="L18" i="2"/>
  <c r="I18" i="2"/>
  <c r="P17" i="2"/>
  <c r="O17" i="2"/>
  <c r="L17" i="2"/>
  <c r="P16" i="2"/>
  <c r="O16" i="2"/>
  <c r="L16" i="2"/>
  <c r="I16" i="2"/>
  <c r="P15" i="2"/>
  <c r="O15" i="2"/>
  <c r="L15" i="2"/>
  <c r="P14" i="2"/>
  <c r="O14" i="2"/>
  <c r="L14" i="2"/>
  <c r="I14" i="2"/>
  <c r="P13" i="2"/>
  <c r="O13" i="2"/>
  <c r="L13" i="2"/>
  <c r="I13" i="2"/>
  <c r="P12" i="2"/>
  <c r="O12" i="2"/>
  <c r="L12" i="2"/>
  <c r="I12" i="2"/>
  <c r="P11" i="2"/>
  <c r="O11" i="2"/>
  <c r="L11" i="2"/>
  <c r="I11" i="2"/>
  <c r="P10" i="2"/>
  <c r="O10" i="2"/>
  <c r="L10" i="2"/>
  <c r="P9" i="2"/>
  <c r="O9" i="2"/>
  <c r="L9" i="2"/>
  <c r="I9" i="2"/>
  <c r="P8" i="2"/>
  <c r="O8" i="2"/>
  <c r="L8" i="2"/>
  <c r="P7" i="2"/>
  <c r="O7" i="2"/>
  <c r="L7" i="2"/>
  <c r="I7" i="2"/>
  <c r="P6" i="2"/>
  <c r="O6" i="2"/>
  <c r="L6" i="2"/>
  <c r="I6" i="2"/>
  <c r="P5" i="2"/>
  <c r="O5" i="2"/>
  <c r="L5" i="2"/>
  <c r="I5" i="2"/>
  <c r="P4" i="2"/>
  <c r="O4" i="2"/>
  <c r="L4" i="2"/>
  <c r="I4" i="2"/>
  <c r="P3" i="2"/>
  <c r="O3" i="2"/>
  <c r="L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Dewi Pamungkas</author>
  </authors>
  <commentList>
    <comment ref="C13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Before : MSU-W-07
</t>
        </r>
      </text>
    </comment>
    <comment ref="C1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Before : MSU-W-14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Dewi Pamungkas</author>
  </authors>
  <commentList>
    <comment ref="D13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Before : MSU-W-07
</t>
        </r>
      </text>
    </comment>
    <comment ref="D1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Before : MSU-W-14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<sst xmlns="http://schemas.openxmlformats.org/spreadsheetml/2006/main" count="5271" uniqueCount="887">
  <si>
    <t>NO</t>
  </si>
  <si>
    <t>NAMA DOK</t>
  </si>
  <si>
    <t>NO DOK</t>
  </si>
  <si>
    <t>REV NO</t>
  </si>
  <si>
    <t>OWNER</t>
  </si>
  <si>
    <t>PIC</t>
  </si>
  <si>
    <t>PREPARED</t>
  </si>
  <si>
    <t>CHECKED</t>
  </si>
  <si>
    <t>APPROVED</t>
  </si>
  <si>
    <t>Contingency Plan</t>
  </si>
  <si>
    <t>QMS02-CPL</t>
  </si>
  <si>
    <t>QSA</t>
  </si>
  <si>
    <t>ISR</t>
  </si>
  <si>
    <t>ika.y@jai.co.id</t>
  </si>
  <si>
    <t>teguh.s@jai.co.id</t>
  </si>
  <si>
    <t>Business Plan</t>
  </si>
  <si>
    <t>BPR-P-01</t>
  </si>
  <si>
    <t>08</t>
  </si>
  <si>
    <t>Risk Analysis</t>
  </si>
  <si>
    <t>BPR-W-01</t>
  </si>
  <si>
    <t>03</t>
  </si>
  <si>
    <t>Business Operating System (BOS)</t>
  </si>
  <si>
    <t>BOS-P-01</t>
  </si>
  <si>
    <t>04</t>
  </si>
  <si>
    <t>QSA</t>
    <phoneticPr fontId="0"/>
  </si>
  <si>
    <t>Customer Satisfaction</t>
  </si>
  <si>
    <t>BPR-W-02</t>
  </si>
  <si>
    <t>Work In Process Finish Good</t>
  </si>
  <si>
    <t>BOS-W-03</t>
  </si>
  <si>
    <t>01</t>
  </si>
  <si>
    <t>PRODUKSI</t>
    <phoneticPr fontId="0"/>
  </si>
  <si>
    <t>ENS</t>
  </si>
  <si>
    <t>binti.s@jai.co.id,
arthana.f@jai.co.id</t>
  </si>
  <si>
    <t>endang.s@jai.co.id</t>
  </si>
  <si>
    <t>robertus.e@jai.co.id</t>
  </si>
  <si>
    <t>Management Review</t>
  </si>
  <si>
    <t>MRE-P-01</t>
  </si>
  <si>
    <t>07</t>
  </si>
  <si>
    <t>Quality Meeting</t>
  </si>
  <si>
    <t>MRE-W-01</t>
  </si>
  <si>
    <t>02</t>
  </si>
  <si>
    <t>QA</t>
  </si>
  <si>
    <t>TWI</t>
  </si>
  <si>
    <t>andik.e@jai.co.id, 
lia.n@jai.co.id,
verry.s@jai.co.id</t>
  </si>
  <si>
    <t>toni.w@jai.co.id</t>
  </si>
  <si>
    <t>evis.m@jai.co.id</t>
  </si>
  <si>
    <t>Internal Audit</t>
  </si>
  <si>
    <t>IAU-P-01</t>
  </si>
  <si>
    <t>Quality Management System Audit</t>
  </si>
  <si>
    <t>IAU-W-01</t>
  </si>
  <si>
    <t>Pengisian Form Corrective Action Request (CAR)</t>
  </si>
  <si>
    <t>IAU-W-02</t>
  </si>
  <si>
    <t>09</t>
  </si>
  <si>
    <t>Tear Down Inspection</t>
  </si>
  <si>
    <t>IAU-W-03</t>
  </si>
  <si>
    <t>QC CHECK W/H</t>
    <phoneticPr fontId="0"/>
  </si>
  <si>
    <t>SFE</t>
  </si>
  <si>
    <t>shinta.f@jai.co.id</t>
  </si>
  <si>
    <t>Finish Good Sampling</t>
  </si>
  <si>
    <t>IAU-W-06</t>
  </si>
  <si>
    <t>Pemeliharaan &amp; Pengembangan Kompetensi Auditor</t>
  </si>
  <si>
    <t>IAU-W-07</t>
  </si>
  <si>
    <t>Kakotora Audit</t>
  </si>
  <si>
    <t>IAU-W-08</t>
  </si>
  <si>
    <t>Second Party Audit</t>
  </si>
  <si>
    <t>IAU-W-09</t>
  </si>
  <si>
    <t>Sertifikasi Eksternal</t>
  </si>
  <si>
    <t>IAU-W-10</t>
  </si>
  <si>
    <t>QSA, PGA</t>
  </si>
  <si>
    <t>ISR, AIN</t>
  </si>
  <si>
    <t>agung.i@jai.co.id</t>
  </si>
  <si>
    <t>cahyo@jai.co.id</t>
  </si>
  <si>
    <t>Layered Audit</t>
  </si>
  <si>
    <t>IAU-W-11</t>
  </si>
  <si>
    <t>Moto Audit</t>
  </si>
  <si>
    <t>IAU-W-13</t>
  </si>
  <si>
    <t>05</t>
  </si>
  <si>
    <t>QC STANDARISASI</t>
  </si>
  <si>
    <t>ASW</t>
  </si>
  <si>
    <t>atiek.s@jai.co.id</t>
  </si>
  <si>
    <t>8 Disciplines (8D)</t>
  </si>
  <si>
    <t>IMP-W-01</t>
  </si>
  <si>
    <t>QA</t>
    <phoneticPr fontId="0"/>
  </si>
  <si>
    <t>Pembuatan Dan Pengendalian Informasi Terdokumentasi</t>
  </si>
  <si>
    <t>COD-P-01</t>
  </si>
  <si>
    <t>Metode Distribusi Standard kerja</t>
  </si>
  <si>
    <t>COD-W-02</t>
  </si>
  <si>
    <t>DSG, QC STD</t>
  </si>
  <si>
    <t>VRA, ASW</t>
  </si>
  <si>
    <t>vinny.r@jai.co.id</t>
  </si>
  <si>
    <t>kholiq@jai.co.id</t>
  </si>
  <si>
    <t>Pengendalian Quality Record</t>
  </si>
  <si>
    <t>COD-W-04</t>
  </si>
  <si>
    <t xml:space="preserve">Responsibility and Authority </t>
  </si>
  <si>
    <t>HRM-P-01</t>
  </si>
  <si>
    <t>TOP MGMT (QSA)</t>
  </si>
  <si>
    <t>Evaluasi Kinerja Karyawan</t>
  </si>
  <si>
    <t>HRM-W-02</t>
  </si>
  <si>
    <t>IR</t>
    <phoneticPr fontId="0"/>
  </si>
  <si>
    <t>NIA</t>
  </si>
  <si>
    <t>noivasari@jai.co.id</t>
  </si>
  <si>
    <t>arie.t@jai.co.id</t>
  </si>
  <si>
    <t>Pelaksanaan Rekruitmen Dengan Syarat Khusus</t>
  </si>
  <si>
    <t>HRM-W-13</t>
  </si>
  <si>
    <t>Pengunduran Diri</t>
  </si>
  <si>
    <t>HRM-W-06</t>
  </si>
  <si>
    <t>ID Card Karyawan &amp; Temporary ID</t>
  </si>
  <si>
    <t>HRM-W-15</t>
  </si>
  <si>
    <t>HR, IR</t>
  </si>
  <si>
    <t>ATH, NIA</t>
  </si>
  <si>
    <t>Pelaksanaan Kerja Lembur</t>
  </si>
  <si>
    <t>HRM-W-14</t>
  </si>
  <si>
    <t>HR</t>
    <phoneticPr fontId="0"/>
  </si>
  <si>
    <t>ATH</t>
  </si>
  <si>
    <t>Training System</t>
  </si>
  <si>
    <t>HRM-P-03</t>
  </si>
  <si>
    <t>TRAINING</t>
    <phoneticPr fontId="0"/>
  </si>
  <si>
    <t>WWI</t>
  </si>
  <si>
    <t>nurdianengseh@jai.co.id</t>
  </si>
  <si>
    <t>wiwin.w@jai.co.id</t>
  </si>
  <si>
    <t>Sistem Training Karyawan Baru dan Peserta Magang</t>
  </si>
  <si>
    <t>HRM-W-03</t>
  </si>
  <si>
    <t>Pembuatan Dan Review Materi Training</t>
  </si>
  <si>
    <t>HRM-W-05</t>
  </si>
  <si>
    <t>Prosedur Prakerin</t>
  </si>
  <si>
    <t>HRM-W-08</t>
  </si>
  <si>
    <t>Pengajuan Training &amp; License User Removal Tool</t>
  </si>
  <si>
    <t>HRM-W-10</t>
  </si>
  <si>
    <t>Sistem Promosi Group Leader, Line Leader, Foreman Dan ESO</t>
  </si>
  <si>
    <t>HRM-W-11</t>
  </si>
  <si>
    <t>TRAINING, HR</t>
  </si>
  <si>
    <t>WWI, ATH</t>
  </si>
  <si>
    <t>Penunjukkan Inspektor Baru</t>
  </si>
  <si>
    <t>HRM-W-12</t>
  </si>
  <si>
    <t>License Sistem</t>
  </si>
  <si>
    <t>HRM-W-16</t>
  </si>
  <si>
    <t>Prosedur Renewal License</t>
  </si>
  <si>
    <t>HRM-W-17</t>
  </si>
  <si>
    <t>Pelaporan Kehilangan Dan Atau Kerusakan Kartu License</t>
  </si>
  <si>
    <t>HRM-W-20</t>
  </si>
  <si>
    <t>Permohonan Pengesahan Perjanjian Magang Ke Disnaker</t>
  </si>
  <si>
    <t>HRM-W-21</t>
  </si>
  <si>
    <t>Pengambilan &amp; Pengembalian Form Catatan Meninggalkan Pekerjaan (CMP)</t>
  </si>
  <si>
    <t>HRM-W-22</t>
  </si>
  <si>
    <t>HR</t>
  </si>
  <si>
    <t>Prosedur Pengontrolan License</t>
  </si>
  <si>
    <t>HRM-W-23</t>
  </si>
  <si>
    <t>Prosedur Pengontrolan License Eksternal</t>
  </si>
  <si>
    <t>HRM-W-27</t>
  </si>
  <si>
    <t>Pelaksanaan Kaizen (Improvisasi)</t>
  </si>
  <si>
    <t>HRM-W-28</t>
  </si>
  <si>
    <t>NYS</t>
  </si>
  <si>
    <t>LSE</t>
  </si>
  <si>
    <t>lilis.s@jai.co.id</t>
  </si>
  <si>
    <t>umar.f@jai.co.id</t>
  </si>
  <si>
    <t>teguh.w@jai.co.id</t>
  </si>
  <si>
    <t>Aktivitas QC Circle</t>
  </si>
  <si>
    <t>HRM-W-29</t>
  </si>
  <si>
    <t>Konvensi QC Circle Internal</t>
  </si>
  <si>
    <t>HRM-W-30</t>
  </si>
  <si>
    <t>Mutasi Karyawan</t>
  </si>
  <si>
    <t>HRM-W-32</t>
  </si>
  <si>
    <t>IR</t>
  </si>
  <si>
    <t>Perubahan Atau Pembatalan Pelaksanaan Training</t>
  </si>
  <si>
    <t>HRM-W-33</t>
  </si>
  <si>
    <t>Pendistribusian Dan Pengisian Form Request Training</t>
  </si>
  <si>
    <t>HRM-W-35</t>
  </si>
  <si>
    <t>Medical Emergency</t>
  </si>
  <si>
    <t>HRM-W-36</t>
  </si>
  <si>
    <t>Tidak Masuk Mogok Kerja &amp; Kekurangan Tenaga Kerja</t>
  </si>
  <si>
    <t>HRM-W-37</t>
  </si>
  <si>
    <t>Standard Backup Data Komputer</t>
  </si>
  <si>
    <t>HRM-W-09</t>
  </si>
  <si>
    <t>IT</t>
  </si>
  <si>
    <t>HMA</t>
  </si>
  <si>
    <t>hendy.m@jai.co.id</t>
  </si>
  <si>
    <t>Product Realization</t>
  </si>
  <si>
    <t>PQP-P-01</t>
  </si>
  <si>
    <t>19</t>
  </si>
  <si>
    <t>PSP</t>
  </si>
  <si>
    <t>LDA</t>
  </si>
  <si>
    <t>lita.d@jai.co.id</t>
  </si>
  <si>
    <t>Pembuatan PQTP (Product Quality Timing Plan)</t>
  </si>
  <si>
    <t>PQP-W-01</t>
  </si>
  <si>
    <t>Form Pick up Problem</t>
  </si>
  <si>
    <t>PQP-W-05</t>
  </si>
  <si>
    <t>Risk Assessment</t>
  </si>
  <si>
    <t>PQP-W-06</t>
  </si>
  <si>
    <t>Pembuatan &amp; Pengontrolan Operation Standard (OS)</t>
  </si>
  <si>
    <t>PQP-W-08</t>
  </si>
  <si>
    <t>DSG</t>
  </si>
  <si>
    <t>VRA</t>
  </si>
  <si>
    <t>Pembuatan &amp; Review Berkala Production Process Flow Chart (PPFC)</t>
  </si>
  <si>
    <t>PQP-W-10</t>
  </si>
  <si>
    <t>06</t>
  </si>
  <si>
    <t>CHA</t>
  </si>
  <si>
    <t>catur.h@jai.co.id</t>
  </si>
  <si>
    <t>Pembuatan &amp; Pengontrolan Inspection Standard (IS), Inspection Point (IP) dan Important Point (IMP)</t>
  </si>
  <si>
    <t>PQP-W-11</t>
  </si>
  <si>
    <t>QC STANDARISASI</t>
    <phoneticPr fontId="0"/>
  </si>
  <si>
    <t>ASW, TWI</t>
  </si>
  <si>
    <t>Pembuatan, Pengontrolan &amp; Review Berkala Dokumen PFMEA</t>
  </si>
  <si>
    <t>PQP-W-12</t>
  </si>
  <si>
    <t>Pembuatan, Pengontrolan &amp; Review Berkala Dokumen Control Plan &amp; MQC</t>
  </si>
  <si>
    <t>PQP-W-13</t>
  </si>
  <si>
    <t>Offline Training &amp; HVPT</t>
  </si>
  <si>
    <t>PQP-W-14</t>
  </si>
  <si>
    <t>Initial Mass Production Intensive Quality Control</t>
  </si>
  <si>
    <t>PQP-W-16</t>
  </si>
  <si>
    <t>Production Preparation Cost Control</t>
  </si>
  <si>
    <t>PQP-W-17</t>
  </si>
  <si>
    <t>PP</t>
  </si>
  <si>
    <t>AFI</t>
  </si>
  <si>
    <t>afianty.m@jai.co.id</t>
  </si>
  <si>
    <t>Cross Functional Review</t>
  </si>
  <si>
    <t>PQP-W-18</t>
  </si>
  <si>
    <t>Identifikasi &amp; Pengontrolan Proses Penting &amp; Proses Spesial</t>
  </si>
  <si>
    <t>PQP-W-19</t>
  </si>
  <si>
    <t>Initial Process Study Pengukuran Dimensi Clip To Protector</t>
  </si>
  <si>
    <t>PQP-W-20</t>
  </si>
  <si>
    <t>Mass Production Approval</t>
  </si>
  <si>
    <t>PQP-W-21</t>
  </si>
  <si>
    <t>PCCS Dan Kesiapan Produksi</t>
  </si>
  <si>
    <t>PQP-W-22</t>
  </si>
  <si>
    <t>0</t>
  </si>
  <si>
    <t>Penanganan Mazda Drawing</t>
  </si>
  <si>
    <t>PQP-W-23</t>
  </si>
  <si>
    <t>QC CHECK W/H</t>
  </si>
  <si>
    <t>Design Change</t>
  </si>
  <si>
    <t>CDC-P-01</t>
  </si>
  <si>
    <t>PPC</t>
    <phoneticPr fontId="0"/>
  </si>
  <si>
    <t>EMU</t>
  </si>
  <si>
    <t>ira.a@jai.co.id,
avif.p@jai.co.id</t>
  </si>
  <si>
    <t>evaningsih@jai.co.id</t>
  </si>
  <si>
    <t>dedi.k@jai.co.id</t>
  </si>
  <si>
    <t>Pembuatan Dokumen Engineering Design and Standard</t>
  </si>
  <si>
    <t>CDC-W-01</t>
  </si>
  <si>
    <t>Proses Input Part List di AS 400</t>
  </si>
  <si>
    <t>CDC-W-02</t>
  </si>
  <si>
    <t>Pembuatan Engineering Package</t>
  </si>
  <si>
    <t>CDC-W-03</t>
  </si>
  <si>
    <t>Cross Section Terminal &amp; Pengecekan Circuit Size Besar</t>
  </si>
  <si>
    <t>CDC-W-05</t>
  </si>
  <si>
    <t>QC LAB</t>
  </si>
  <si>
    <t>Concern Report Sheet (Monrensyo)</t>
  </si>
  <si>
    <t>CDC-W-07</t>
  </si>
  <si>
    <t>Initial Process Study crimping</t>
  </si>
  <si>
    <t>CDC-W-10</t>
  </si>
  <si>
    <t>QC LAB</t>
    <phoneticPr fontId="0"/>
  </si>
  <si>
    <t>Control of  Part Design Change</t>
  </si>
  <si>
    <t>CDC-W-11</t>
  </si>
  <si>
    <t>QC REC, MPC</t>
  </si>
  <si>
    <t>SSI, MMR</t>
  </si>
  <si>
    <t>sepfi.s@jai.co.id</t>
  </si>
  <si>
    <t>m.rafi@jai.co.id</t>
  </si>
  <si>
    <t>riza.a@jai.co.id</t>
  </si>
  <si>
    <t xml:space="preserve">Verifikasi Crimping Standard </t>
  </si>
  <si>
    <t>CDC-W-12</t>
  </si>
  <si>
    <t xml:space="preserve">Pembuatan Bonding Standart </t>
  </si>
  <si>
    <t>CDC-W-13</t>
  </si>
  <si>
    <t>Temporary Crimping Standard</t>
  </si>
  <si>
    <t>CDC-W-14</t>
  </si>
  <si>
    <t>Pembuatan Dan Perubahan Job Station</t>
  </si>
  <si>
    <t>CDC-W-15</t>
  </si>
  <si>
    <t>Control Circuit Dalam Joint Yang Sama</t>
  </si>
  <si>
    <t>CDC-W-22</t>
  </si>
  <si>
    <t>Mekanisme Penentuan Point Inspeksi</t>
  </si>
  <si>
    <t>CDC-W-23</t>
  </si>
  <si>
    <t>Initial Process Study Joint Ultrasonic</t>
  </si>
  <si>
    <t>CDC-W-24</t>
  </si>
  <si>
    <t>00</t>
  </si>
  <si>
    <t>Pelaksanaan PPAP, ISIR &amp; TR</t>
  </si>
  <si>
    <t>PAP-P-01</t>
  </si>
  <si>
    <t>Pengisian Form PPAP Build Concern</t>
  </si>
  <si>
    <t>PAP-W-08</t>
  </si>
  <si>
    <t>Production Plan</t>
  </si>
  <si>
    <t>PPL-P-01</t>
  </si>
  <si>
    <t>PPC</t>
  </si>
  <si>
    <t>Pembuatan Sample Build Timing</t>
  </si>
  <si>
    <t>PPL-W-01</t>
  </si>
  <si>
    <t>Pembuatan SPP ( Six Months Production Plan )</t>
  </si>
  <si>
    <t>PPL-W-02</t>
  </si>
  <si>
    <t>Pembuatan Assy Plan</t>
  </si>
  <si>
    <t>PPL-W-03</t>
  </si>
  <si>
    <t>Follow Up Delay Produksi</t>
  </si>
  <si>
    <t>PPL-W-04</t>
  </si>
  <si>
    <t>Pengontrolan Polytainer Dan Pallet Rental</t>
  </si>
  <si>
    <t>PPL-W-05</t>
  </si>
  <si>
    <t>AYS</t>
  </si>
  <si>
    <t>arif.y@jai.co.id</t>
  </si>
  <si>
    <t>Pembuatan Instruction Kanban</t>
  </si>
  <si>
    <t>PPL-W-06</t>
  </si>
  <si>
    <t>NYS</t>
    <phoneticPr fontId="0"/>
  </si>
  <si>
    <t>Production Plan for Part &amp; Service</t>
  </si>
  <si>
    <t>PPL-W-07</t>
  </si>
  <si>
    <t xml:space="preserve">Air Freight Request Finish Goods </t>
  </si>
  <si>
    <t>PPL-W-08</t>
  </si>
  <si>
    <t>Increase And Decrease Order</t>
  </si>
  <si>
    <t>PPL-W-11</t>
  </si>
  <si>
    <t>Material Ordering</t>
  </si>
  <si>
    <t>MOR-P-01</t>
  </si>
  <si>
    <t>MPC</t>
  </si>
  <si>
    <t>MMR</t>
  </si>
  <si>
    <t>Input Assy Plan Di AS 400</t>
  </si>
  <si>
    <t>MOR-W-01</t>
  </si>
  <si>
    <t>Pengadaan PSW Material</t>
  </si>
  <si>
    <t>MOR-W-05</t>
  </si>
  <si>
    <t>DAS</t>
  </si>
  <si>
    <t>dwi.as@jai.co.id</t>
  </si>
  <si>
    <t xml:space="preserve">Line Condition Report </t>
  </si>
  <si>
    <t>MOR-W-06</t>
  </si>
  <si>
    <t>Follow Up Over Quantity Shipment</t>
  </si>
  <si>
    <t>MOR-W-08</t>
  </si>
  <si>
    <t>Hot Part</t>
  </si>
  <si>
    <t>MOR-W-09</t>
  </si>
  <si>
    <t>Follow Up Shipment Delay Part</t>
  </si>
  <si>
    <t>MOR-W-10</t>
  </si>
  <si>
    <t>Follow Up Material Order</t>
  </si>
  <si>
    <t>MOR-W-11</t>
  </si>
  <si>
    <t>Analisa Material</t>
  </si>
  <si>
    <t>MOR-W-12</t>
  </si>
  <si>
    <t>Order Adjustment</t>
  </si>
  <si>
    <t>MOR-W-14</t>
  </si>
  <si>
    <t>Air Freight Request</t>
  </si>
  <si>
    <t>MOR-W-15</t>
  </si>
  <si>
    <t>Mekanisme Approval</t>
  </si>
  <si>
    <t>MOR-W-17</t>
  </si>
  <si>
    <t>FA</t>
  </si>
  <si>
    <t>EHA</t>
  </si>
  <si>
    <t>pricing1@jai.co.id</t>
  </si>
  <si>
    <t>yuli.f@jai.co.id</t>
  </si>
  <si>
    <t>dedy.h@jai.co.id</t>
  </si>
  <si>
    <t>Flow Informasi Penggunaan Material Jika Terjadi Kondisi Abnormal</t>
  </si>
  <si>
    <t>MOR-W-21</t>
  </si>
  <si>
    <t>Standard Agreement Purchase Untuk Non Material W/H</t>
  </si>
  <si>
    <t>MOR-W-25</t>
  </si>
  <si>
    <t>PURCHASE</t>
  </si>
  <si>
    <t>RKO</t>
  </si>
  <si>
    <t>riska.o@jai.co.id</t>
  </si>
  <si>
    <t>Interruption From Externally Provided</t>
  </si>
  <si>
    <t>MOR-W-26</t>
  </si>
  <si>
    <t>Purchasing</t>
  </si>
  <si>
    <t>MOR-P-02</t>
  </si>
  <si>
    <t>Pembuatan Purchase Requisition &amp; Air Freight Requisition</t>
  </si>
  <si>
    <t>MOR-W-20</t>
  </si>
  <si>
    <t>PURCHASE, FA</t>
  </si>
  <si>
    <t>RKO, EHA</t>
  </si>
  <si>
    <t>Pembuatan Application For Advance Payment (AFAP)</t>
  </si>
  <si>
    <t>MOR-W-27</t>
  </si>
  <si>
    <t>PGA,QSA,QA,MPC,FA</t>
  </si>
  <si>
    <t>HPU,ISR,ASW,DAS,YFI</t>
  </si>
  <si>
    <t>hayu.p@jai.co.id</t>
  </si>
  <si>
    <t>Material Receiving And Storage</t>
  </si>
  <si>
    <t>MRS-P-01</t>
  </si>
  <si>
    <t>WHS</t>
  </si>
  <si>
    <t>FIR</t>
  </si>
  <si>
    <t>ferry.i@jai.co.id,
heru.y@jai.co.id</t>
  </si>
  <si>
    <t>Quality Receiving Inspection</t>
  </si>
  <si>
    <t>MRS-W-02</t>
  </si>
  <si>
    <t>QC REC</t>
  </si>
  <si>
    <t>SSI</t>
  </si>
  <si>
    <t>Rec. Insp. For Abnormal Condition</t>
  </si>
  <si>
    <t>MRS-W-03</t>
  </si>
  <si>
    <t>Pembuatan Receiving Inspection Standard</t>
  </si>
  <si>
    <t>MRS-W-05</t>
  </si>
  <si>
    <t>Pengisian CS Pemeriksaan Ulang Part / Material</t>
  </si>
  <si>
    <t>MRS-W-10</t>
  </si>
  <si>
    <t>Material Alert</t>
  </si>
  <si>
    <t>MRS-W-11</t>
  </si>
  <si>
    <t>Kontrol Material Slow Moving</t>
  </si>
  <si>
    <t>MRS-W-13</t>
  </si>
  <si>
    <t>Mekanisme Pengontrolan Dan Pengecekan SOC Untuk Direct Material &amp; In Direct Material</t>
  </si>
  <si>
    <t>MRS-W-16</t>
  </si>
  <si>
    <t>Claim Dead Stock Material ke Customer</t>
  </si>
  <si>
    <t>MRS-W-18</t>
  </si>
  <si>
    <t>Control New Part &amp; Similar Part</t>
  </si>
  <si>
    <t>MRS-W-23</t>
  </si>
  <si>
    <t>Pembuatan Cutting Kanban Dan Shikake Kanban</t>
  </si>
  <si>
    <t>MRS-W-25</t>
  </si>
  <si>
    <t>Part Requisition</t>
  </si>
  <si>
    <t>MRS-W-28</t>
  </si>
  <si>
    <t>WHS</t>
    <phoneticPr fontId="0"/>
  </si>
  <si>
    <t>New Part</t>
  </si>
  <si>
    <t>MRS-W-29</t>
  </si>
  <si>
    <t>Pengembalian Sisa Material Prototype</t>
  </si>
  <si>
    <t>MRS-W-31</t>
  </si>
  <si>
    <t>Pembuatan dan Penyimpanan Name Plate</t>
  </si>
  <si>
    <t>MRS-W-33</t>
  </si>
  <si>
    <t>Material Supply</t>
  </si>
  <si>
    <t>MRS-P-02</t>
  </si>
  <si>
    <t xml:space="preserve">Pembuatan Kanban Wire Dan Terminal </t>
  </si>
  <si>
    <t>MRS-W-26</t>
  </si>
  <si>
    <t>Penyediaan Tube Untuk Produksi</t>
  </si>
  <si>
    <t>MRS-W-35</t>
  </si>
  <si>
    <t xml:space="preserve">Stock Opname </t>
  </si>
  <si>
    <t>MRS-W-34</t>
  </si>
  <si>
    <t>Persiapan SoC Sample Untuk Pengecekan Phthlate Esther Ke YIC-AP</t>
  </si>
  <si>
    <t>MRS-W-36</t>
  </si>
  <si>
    <t>Manajemen SoC, Kriteria Dan Metode Penjaminan</t>
  </si>
  <si>
    <t>MRS-W-37</t>
  </si>
  <si>
    <t>Penilaian (Judgement) Terhadap Pengukuran SoC</t>
  </si>
  <si>
    <t>MRS-W-38</t>
  </si>
  <si>
    <t>Pengecekan Material Abnormal</t>
  </si>
  <si>
    <t>MRS-W-39</t>
  </si>
  <si>
    <t>Pre Assembly Process &amp; Inspection</t>
  </si>
  <si>
    <t>PAM-P-01</t>
  </si>
  <si>
    <t>PRODUKSI, QA</t>
  </si>
  <si>
    <t>ENS, TWI</t>
  </si>
  <si>
    <t>okti.v@jai.co.id</t>
  </si>
  <si>
    <t>Lot Management Bonding</t>
  </si>
  <si>
    <t>PAM-W-01</t>
  </si>
  <si>
    <t>Pengisihan CS LK Operator &amp; Inspector Heat Shrink ( Raychem )</t>
  </si>
  <si>
    <t>PAM-W-02</t>
  </si>
  <si>
    <t>Set Up Verification</t>
  </si>
  <si>
    <t>PAM-W-03</t>
  </si>
  <si>
    <t>Pengisian Form Rework Pre Assy</t>
  </si>
  <si>
    <t>PAM-W-04</t>
  </si>
  <si>
    <t>Pengisian CS LK Operator &amp; Inspector Gun / Dip Solder</t>
  </si>
  <si>
    <t>PAM-W-06</t>
  </si>
  <si>
    <t>Pengisian CS LK Operator Dan Inspektor Cutting</t>
  </si>
  <si>
    <t>PAM-W-07</t>
  </si>
  <si>
    <t>PROD, QA, NYS</t>
  </si>
  <si>
    <t>Pengisian CS LK Operator Dan Inspektor Man. Crimping</t>
  </si>
  <si>
    <t>PAM-W-08</t>
  </si>
  <si>
    <t>Pengisian CS LK Operator Middle Stripping</t>
  </si>
  <si>
    <t>PAM-W-09</t>
  </si>
  <si>
    <t>Pengisian CS LK Operator Wire Twisting</t>
  </si>
  <si>
    <t>PAM-W-10</t>
  </si>
  <si>
    <t>Pengisian CS LK Operator Pemasangan Tube / Accessories</t>
  </si>
  <si>
    <t>PAM-W-11</t>
  </si>
  <si>
    <t>Pengisian CS LK Operator Joint Taping</t>
  </si>
  <si>
    <t>PAM-W-12</t>
  </si>
  <si>
    <t>Pengisian CS LK Operator Manual Taping</t>
  </si>
  <si>
    <t>PAM-W-13</t>
  </si>
  <si>
    <t>Pengisian CS LK Operator &amp; Inspektor Joint Crimping</t>
  </si>
  <si>
    <t>PAM-W-14</t>
  </si>
  <si>
    <t>Pengisian CS LK Operator &amp; Inspektor Joint Welding / Bonder</t>
  </si>
  <si>
    <t>PAM-W-15</t>
  </si>
  <si>
    <t>Pengisian CS LK Operator &amp; Inspector Manual Crimping Shield Wire</t>
  </si>
  <si>
    <t>PAM-W-16</t>
  </si>
  <si>
    <t>Pengisian CS LK Operator Accessories Insertion Shield Wire</t>
  </si>
  <si>
    <t>PAM-W-17</t>
  </si>
  <si>
    <t>Pengisian CS LK Operator Cutting Doren Shield Wire</t>
  </si>
  <si>
    <t>PAM-W-18</t>
  </si>
  <si>
    <t>Voltage Test Dan Pengecheckan Scratch Core</t>
  </si>
  <si>
    <t>PAM-W-19</t>
  </si>
  <si>
    <t>Pengisian CS LK Operator &amp; Inspektor Manual Crimping Air Bag</t>
  </si>
  <si>
    <t>PAM-W-29</t>
  </si>
  <si>
    <t xml:space="preserve"> QA</t>
  </si>
  <si>
    <t>Pengisian LKO Pemasangan Tube / Accesories Airbag</t>
  </si>
  <si>
    <t>PAM-W-35</t>
  </si>
  <si>
    <t>Quality Tube</t>
  </si>
  <si>
    <t>PAM-W-37</t>
  </si>
  <si>
    <t>Pengisian LKO Rolling Machine Wire /Tube</t>
  </si>
  <si>
    <t>PAM-W-38</t>
  </si>
  <si>
    <t>Rule 4M Transition Pre Assy</t>
  </si>
  <si>
    <t>PAM-W-39</t>
  </si>
  <si>
    <t>Pengisian CS Daily Report Prosess Cutting</t>
  </si>
  <si>
    <t>PAM-W-41</t>
  </si>
  <si>
    <t>Pengisian C/S LKO Operator End Stripping</t>
  </si>
  <si>
    <t>PAM-W-42</t>
  </si>
  <si>
    <t>Statistical Process Control (SPC)</t>
  </si>
  <si>
    <t>PAM-W-44</t>
  </si>
  <si>
    <t>Pengisian C/S Lembar Kerja Operator &amp; Inspector Joint Ultrasonic</t>
  </si>
  <si>
    <t>PAM-W-45</t>
  </si>
  <si>
    <t>Pengisian C/S Lembar Kerja Operator Proses Anti Korosi Aluminium Wire (Ultraviolet)</t>
  </si>
  <si>
    <t>PAM-W-46</t>
  </si>
  <si>
    <t>Pengisian Checksheet Proses Anti Korosi (Ultraviolet)</t>
  </si>
  <si>
    <t>PAM-W-47</t>
  </si>
  <si>
    <t>Pengisian C/S Laporan Kerja Operator Hodoki</t>
  </si>
  <si>
    <t>PAM-W-48</t>
  </si>
  <si>
    <t>Pengisian Checksheet Pengecheckan Kekentalan Aron Alpha</t>
  </si>
  <si>
    <t>PAM-W-49</t>
  </si>
  <si>
    <t>Pengisian Checksheet LKO Cutting Jam Twist</t>
  </si>
  <si>
    <t>PAM-W-51</t>
  </si>
  <si>
    <t>PRODUKSI</t>
  </si>
  <si>
    <t>Final Assembly Process &amp; Inspection</t>
  </si>
  <si>
    <t>FAM-P-01</t>
  </si>
  <si>
    <t>Proses Inspeksi di Final Assy</t>
  </si>
  <si>
    <t>FAM-P-02</t>
  </si>
  <si>
    <t>Kontrol Harian Produksi</t>
  </si>
  <si>
    <t>FAM-W-06</t>
  </si>
  <si>
    <t>Pengisian CS Laporan Kerja Inspektor F/A</t>
  </si>
  <si>
    <t>FAM-W-07</t>
  </si>
  <si>
    <t>Pengisian CS Laporan Kerja Operator F/A</t>
  </si>
  <si>
    <t>FAM-W-08</t>
  </si>
  <si>
    <t>Pengisian CS Pengisian Material Mesin Water Proof Injection</t>
  </si>
  <si>
    <t>FAM-W-09</t>
  </si>
  <si>
    <t>Standard Setting Torque Driver &amp; Torque Checker</t>
  </si>
  <si>
    <t>FAM-W-13</t>
  </si>
  <si>
    <t>ENG, QA</t>
  </si>
  <si>
    <t>DAF,YHE,TWI</t>
  </si>
  <si>
    <t>david.a@jai.co.id,
yachrul.h@jai.co.id</t>
  </si>
  <si>
    <t>danny.h@jai.co.id</t>
  </si>
  <si>
    <t>adi.y@jai.co.id</t>
  </si>
  <si>
    <t>Pengisian CS Laporan Kerja Operator FA Airbag</t>
  </si>
  <si>
    <t>FAM-W-16</t>
  </si>
  <si>
    <t>Pengisian CS Housing Airbag</t>
  </si>
  <si>
    <t>FAM-W-17</t>
  </si>
  <si>
    <t>Pengisian My QA</t>
  </si>
  <si>
    <t>FAM-W-19</t>
  </si>
  <si>
    <t>Pengisian Defect Tracking Checksheet Removal Terminal</t>
  </si>
  <si>
    <t>FAM-W-21</t>
  </si>
  <si>
    <t>Rule 4M Transition Final Assy</t>
  </si>
  <si>
    <t>FAM-W-23</t>
  </si>
  <si>
    <t>Proses Torque</t>
  </si>
  <si>
    <t>FAM-W-27</t>
  </si>
  <si>
    <t>Kontrol Pemakaian Name Plate</t>
  </si>
  <si>
    <t>FAM-W-28</t>
  </si>
  <si>
    <t>Control of Nonconforming Product</t>
  </si>
  <si>
    <t>CNP-P-01</t>
  </si>
  <si>
    <t>Pembuatan dan Pengisian Quality Alert</t>
  </si>
  <si>
    <t>CNP-W-04</t>
  </si>
  <si>
    <t>Pengisian dan Kontrol Form Defective Tag</t>
  </si>
  <si>
    <t>CNP-W-05</t>
  </si>
  <si>
    <t>Product Sorting / Rework Instruction</t>
  </si>
  <si>
    <t>CNP-W-06</t>
  </si>
  <si>
    <t>Traceability Process</t>
  </si>
  <si>
    <t>CNP-W-07</t>
  </si>
  <si>
    <t>Perhitungan Quality Cost</t>
  </si>
  <si>
    <t>CNP-W-09</t>
  </si>
  <si>
    <t>Penanganan Product di Quarantine Area</t>
  </si>
  <si>
    <t>CNP-W-11</t>
  </si>
  <si>
    <t>Pengisian Form Countermeasure Defect</t>
  </si>
  <si>
    <t>CNP-W-12</t>
  </si>
  <si>
    <t>Customer Complaint</t>
  </si>
  <si>
    <t>CNP-W-13</t>
  </si>
  <si>
    <t>Quality Notification / Business Memo</t>
  </si>
  <si>
    <t>CNP-W-14</t>
  </si>
  <si>
    <t>Control Of Nonconforming Part / Material</t>
  </si>
  <si>
    <t>CNP-P-02</t>
  </si>
  <si>
    <t>Pembuatan dan Follow Up Defective Report</t>
  </si>
  <si>
    <t>CNP-W-01</t>
  </si>
  <si>
    <t>Pembuatan Summary Report "Sorting Cost of Defective Parts" And Follow Up</t>
  </si>
  <si>
    <t>CNP-W-02</t>
  </si>
  <si>
    <t>Pemeriksaan Part Material 100%</t>
  </si>
  <si>
    <t>CNP-W-03</t>
  </si>
  <si>
    <t>Finished Goods Storage &amp; Delivery</t>
  </si>
  <si>
    <t>FSD-P-01</t>
  </si>
  <si>
    <t>EXIM</t>
  </si>
  <si>
    <t>ASE</t>
  </si>
  <si>
    <t>arianto.s@jai.co.id</t>
  </si>
  <si>
    <t>Loading to Container</t>
  </si>
  <si>
    <t>FSD-W-01</t>
  </si>
  <si>
    <t>Penarikan dan Penyusunan F/G di area Loading Dock</t>
  </si>
  <si>
    <t>FSD-W-02</t>
  </si>
  <si>
    <t>Shipping Release Review</t>
  </si>
  <si>
    <t>FSD-W-09</t>
  </si>
  <si>
    <t>Repacking Process</t>
  </si>
  <si>
    <t>FSD-W-10</t>
  </si>
  <si>
    <t>Pembuatan Invoice Finish Good</t>
  </si>
  <si>
    <t>FSD-W-11</t>
  </si>
  <si>
    <t>Plant and Facility Planning</t>
  </si>
  <si>
    <t>PFP-P-01</t>
  </si>
  <si>
    <t>PGA</t>
  </si>
  <si>
    <t>HPU, HMA</t>
  </si>
  <si>
    <t>aris.c@jai.co.id</t>
  </si>
  <si>
    <t>Perhitungan Dan Order Kebutuhan Mesin Produksi</t>
  </si>
  <si>
    <t>PFP-W-01</t>
  </si>
  <si>
    <t xml:space="preserve">MTC </t>
  </si>
  <si>
    <t>MCB</t>
  </si>
  <si>
    <t>m.chasan@jai.co.id</t>
  </si>
  <si>
    <t>Pembuatan Production Layout</t>
  </si>
  <si>
    <t>PFP-W-02</t>
  </si>
  <si>
    <t>HSW</t>
  </si>
  <si>
    <t>hary.sw@jai.co.id</t>
  </si>
  <si>
    <t>Pembuatan Jig Board Drawing</t>
  </si>
  <si>
    <t>PFP-W-03</t>
  </si>
  <si>
    <t>PE</t>
  </si>
  <si>
    <t>KAR</t>
  </si>
  <si>
    <t>kartono@jai.co.id</t>
  </si>
  <si>
    <t>Pembuatan Cheker Program Dan Fabrikasi Checker Board</t>
  </si>
  <si>
    <t>PFP-W-05</t>
  </si>
  <si>
    <t>Form Permintaan Pekerjaan</t>
  </si>
  <si>
    <t>PFP-W-08</t>
  </si>
  <si>
    <t>Approval dan Verifikasi Jig Board</t>
  </si>
  <si>
    <t>PFP-W-10</t>
  </si>
  <si>
    <t>ENG, QC CHECK WH</t>
  </si>
  <si>
    <t>KAR, SFE</t>
  </si>
  <si>
    <t>Checker Program Validation</t>
  </si>
  <si>
    <t>PFP-W-13</t>
  </si>
  <si>
    <t>Kebutuhan Special Equipment</t>
  </si>
  <si>
    <t>PFP-W-14</t>
  </si>
  <si>
    <t>ENG</t>
  </si>
  <si>
    <t>YHE, DAF</t>
  </si>
  <si>
    <t>yachrul.h@jai.co.id,
david.a@jai.co.id</t>
  </si>
  <si>
    <t>Approval Fuse Insertion Dan Fuse Verification Plate</t>
  </si>
  <si>
    <t>PFP-W-17</t>
  </si>
  <si>
    <t>Pengisian Daily Check Inspector Dan GL Inspect</t>
  </si>
  <si>
    <t>PFP-W-21</t>
  </si>
  <si>
    <t>Power Failure (Black Out)</t>
  </si>
  <si>
    <t>PFP-W-22</t>
  </si>
  <si>
    <t>ACA</t>
  </si>
  <si>
    <t>Air Compression Failure</t>
  </si>
  <si>
    <t>PFP-W-23</t>
  </si>
  <si>
    <t>Water Supply Interuption</t>
  </si>
  <si>
    <t>PFP-W-24</t>
  </si>
  <si>
    <t>Chemical Spills (Tumpahan B3 Cair)</t>
  </si>
  <si>
    <t>PFP-W-25</t>
  </si>
  <si>
    <t>AIN</t>
  </si>
  <si>
    <t>Telecomunication Failure (Telephone)</t>
  </si>
  <si>
    <t>PFP-W-26</t>
  </si>
  <si>
    <t>HPU</t>
  </si>
  <si>
    <t>Fire Minor</t>
  </si>
  <si>
    <t>PFP-W-28</t>
  </si>
  <si>
    <t>Penambahan Daya Listrik</t>
  </si>
  <si>
    <t>PFP-W-29</t>
  </si>
  <si>
    <t>Pembuatan Contigency Plan</t>
  </si>
  <si>
    <t>PFP-P-02</t>
  </si>
  <si>
    <t>Equipment, Tooling &amp; Spare Part Management</t>
  </si>
  <si>
    <t>ETM-P-01</t>
  </si>
  <si>
    <t>MTC, ENG</t>
  </si>
  <si>
    <t>MCB, YHE, DAF</t>
  </si>
  <si>
    <t>Penyediaan Dan Pengadaan Part / Equipment</t>
  </si>
  <si>
    <t>ETM-W-02</t>
  </si>
  <si>
    <t>TKR, DAF</t>
  </si>
  <si>
    <t>tatag.k@jai.co.id, david.a@jai.co.id</t>
  </si>
  <si>
    <t>Set up Tooling Applikator</t>
  </si>
  <si>
    <t>ETM-W-04</t>
  </si>
  <si>
    <t>MTC</t>
  </si>
  <si>
    <t>rizal.f@jai.co.id</t>
  </si>
  <si>
    <t>Modifikasi  Applicator</t>
  </si>
  <si>
    <t>ETM-W-05</t>
  </si>
  <si>
    <t>ghaitsul.a@jai.co.id</t>
  </si>
  <si>
    <t>Penyediaan dan Pengelolaan Spare Part</t>
  </si>
  <si>
    <t>ETM-W-07</t>
  </si>
  <si>
    <t>widyastuti.s@jai.co.id</t>
  </si>
  <si>
    <t>Mapping Applikator</t>
  </si>
  <si>
    <t>ETM-W-10</t>
  </si>
  <si>
    <t>Tooling Control Maintenance</t>
  </si>
  <si>
    <t>ETM-W-13</t>
  </si>
  <si>
    <t>Sistem Informasi Perubahan Posisi Applicator</t>
  </si>
  <si>
    <t>ETM-W-15</t>
  </si>
  <si>
    <t>Production Equipment Breakdown</t>
  </si>
  <si>
    <t>ETM-W-19</t>
  </si>
  <si>
    <t>YHE</t>
  </si>
  <si>
    <t>yachrul.h@jai.co.id</t>
  </si>
  <si>
    <t>Review Equipment</t>
  </si>
  <si>
    <t>ETM-W-20</t>
  </si>
  <si>
    <t>Pengontrolan Inspection Jig</t>
  </si>
  <si>
    <t>ETM-W-21</t>
  </si>
  <si>
    <t>Pengontrolan Alat Potong</t>
  </si>
  <si>
    <t>ETM-W-22</t>
  </si>
  <si>
    <t>Stock Opname Sparepart</t>
  </si>
  <si>
    <t>ETM-W-23</t>
  </si>
  <si>
    <t>EXIM SC</t>
  </si>
  <si>
    <t>DKR</t>
  </si>
  <si>
    <t>david.k@jai.co.id</t>
  </si>
  <si>
    <t>Preventive and Predictive Maintenance</t>
  </si>
  <si>
    <t>PPM-P-01</t>
  </si>
  <si>
    <t>Preventive and Predictive Maintenance Mesin Produksi &amp; Applicator</t>
  </si>
  <si>
    <t>PPM-W-01</t>
  </si>
  <si>
    <t>Penanganan Kerusakan Pada Mesin Produksi</t>
  </si>
  <si>
    <t>PPM-W-03</t>
  </si>
  <si>
    <t>Pelaksanaan  Evaluasi Preventive Maintenance Mesin Produksi</t>
  </si>
  <si>
    <t>PPM-W-05</t>
  </si>
  <si>
    <t>Preventive Maintenance Equipment Final Assy</t>
  </si>
  <si>
    <t>PPM-W-06</t>
  </si>
  <si>
    <t>Pengisian CS Patroli Harian Equipment Final Assy</t>
  </si>
  <si>
    <t>PPM-W-08</t>
  </si>
  <si>
    <t>Pengisian Checksheet Patroli Harian Mesin</t>
  </si>
  <si>
    <t>PPM-W-10</t>
  </si>
  <si>
    <t>Review Dokumen (Checksheet) Mesin &amp; Equipment Produksi</t>
  </si>
  <si>
    <t>PPM-W-11</t>
  </si>
  <si>
    <t>Review Dokumen (Checksheet) Mesin &amp; Equipment Final Assy</t>
  </si>
  <si>
    <t>PPM-W-12</t>
  </si>
  <si>
    <t>Pengendalian Alat Ukur</t>
  </si>
  <si>
    <t>CMD-P-01</t>
  </si>
  <si>
    <t>QC MSA</t>
  </si>
  <si>
    <t>Measurement System Analysis (MSA)</t>
  </si>
  <si>
    <t>CMD-P-02</t>
  </si>
  <si>
    <t>Pembuatan MSA Plan &amp; Evaluation</t>
  </si>
  <si>
    <t>CMD-W-01</t>
  </si>
  <si>
    <t>Analisa Hasil Kalibrasi</t>
  </si>
  <si>
    <t>CMD-W-02</t>
  </si>
  <si>
    <t>Verifikasi Torque</t>
  </si>
  <si>
    <t>CMD-W-03</t>
  </si>
  <si>
    <t>Penaganan Kerusakan Atau Kehilangan Alat Ukur</t>
  </si>
  <si>
    <t>CMD-W-04</t>
  </si>
  <si>
    <t>BLOCK ACTIVITY</t>
  </si>
  <si>
    <t>NAMA LENGKAP</t>
  </si>
  <si>
    <t>JABATAN</t>
  </si>
  <si>
    <t>QSA SPV</t>
  </si>
  <si>
    <t>DFM</t>
  </si>
  <si>
    <t>A1. Business Process</t>
  </si>
  <si>
    <t>(BOS &amp; BPR)</t>
  </si>
  <si>
    <t>QSA</t>
    <phoneticPr fontId="0"/>
  </si>
  <si>
    <t>Binti Susiati,
Nindya Arthana F</t>
  </si>
  <si>
    <t>PROD SPV,
PROD SPV</t>
  </si>
  <si>
    <t>PROD SPV</t>
  </si>
  <si>
    <t>A2. Management Review</t>
  </si>
  <si>
    <t>(MRE)</t>
  </si>
  <si>
    <t>Andik Eko S,
Lia Noviana,
Verry Sabta U</t>
  </si>
  <si>
    <t>QA SPV,
QA SPV,
QA SPV</t>
  </si>
  <si>
    <t>QA SSPV</t>
  </si>
  <si>
    <t xml:space="preserve">A3. Internal Audit </t>
  </si>
  <si>
    <t>(IAU &amp; IMP)</t>
  </si>
  <si>
    <t>QC CHECK WH SPV</t>
  </si>
  <si>
    <t>QA SPV</t>
  </si>
  <si>
    <t>QA</t>
    <phoneticPr fontId="0"/>
  </si>
  <si>
    <t>A5. Documented Information</t>
  </si>
  <si>
    <t>(COD)</t>
  </si>
  <si>
    <t>DSG SPV</t>
  </si>
  <si>
    <t>A6. Human Rescources Management</t>
  </si>
  <si>
    <t>(HRM)</t>
  </si>
  <si>
    <t>IR</t>
    <phoneticPr fontId="0"/>
  </si>
  <si>
    <t>IR SPV</t>
  </si>
  <si>
    <t>HR-IR SSPV</t>
  </si>
  <si>
    <t>PGA SMGR</t>
  </si>
  <si>
    <t>TRAINING</t>
    <phoneticPr fontId="0"/>
  </si>
  <si>
    <t>TRN SPV</t>
  </si>
  <si>
    <t>TRN SSPV</t>
  </si>
  <si>
    <t>NYS SPV</t>
  </si>
  <si>
    <t>NYS SSPV</t>
  </si>
  <si>
    <t>IT SPV</t>
  </si>
  <si>
    <t>B2. APQP (Production Preparation)</t>
  </si>
  <si>
    <t>SSPV PSP</t>
  </si>
  <si>
    <t>PROD SMGR</t>
  </si>
  <si>
    <t>(PQP)</t>
  </si>
  <si>
    <t>QA MGR</t>
  </si>
  <si>
    <t>PP SPV</t>
  </si>
  <si>
    <t>NYS MGR</t>
  </si>
  <si>
    <t>B3. Control of Engineering and Design Change</t>
  </si>
  <si>
    <t>Ira Ayu M,
Avif Prima N</t>
  </si>
  <si>
    <t>PPC SPV,
PPC SPV</t>
  </si>
  <si>
    <t>PPC SSPV</t>
  </si>
  <si>
    <t>(CDC)</t>
  </si>
  <si>
    <t>QC REC &amp; MSA SPV</t>
  </si>
  <si>
    <t>B4. PPAP</t>
  </si>
  <si>
    <t>(PAP)</t>
  </si>
  <si>
    <t>B5. Production Planning</t>
  </si>
  <si>
    <t>(PPL)</t>
  </si>
  <si>
    <t>PPC SPV</t>
  </si>
  <si>
    <t>NYS</t>
    <phoneticPr fontId="0"/>
  </si>
  <si>
    <t>B6. Material Ordering</t>
  </si>
  <si>
    <t>MPC SPV</t>
  </si>
  <si>
    <t>(MOR)</t>
  </si>
  <si>
    <t>FATP JSPV</t>
  </si>
  <si>
    <t>FATP SSPV</t>
  </si>
  <si>
    <t>PURCH SPV</t>
  </si>
  <si>
    <t>B7. Material Receiving Storage and Supply</t>
  </si>
  <si>
    <t>Ferry Irawan,
Heru Yudianto</t>
  </si>
  <si>
    <t>WHS SPV,
WHS SPV</t>
  </si>
  <si>
    <t>(MRS)</t>
  </si>
  <si>
    <t>WHS</t>
    <phoneticPr fontId="0"/>
  </si>
  <si>
    <t>PROD SSPV</t>
  </si>
  <si>
    <t>B8. &amp; B9. Pre Assembly Process &amp; Inspection</t>
  </si>
  <si>
    <t>(PAM)</t>
  </si>
  <si>
    <t>B8. &amp; B9. Final Assembly Process &amp; Inspection</t>
  </si>
  <si>
    <t>(FAM)</t>
  </si>
  <si>
    <t xml:space="preserve">David Agung F,
Yachrul Herwantoro
</t>
  </si>
  <si>
    <t>ENG SPV,
ENG SPV</t>
  </si>
  <si>
    <t>ENG SSPV</t>
  </si>
  <si>
    <t>B10. Control of Nonconforming Product</t>
  </si>
  <si>
    <t>(CNP)</t>
  </si>
  <si>
    <t>SPV PROD,
SPV PROD</t>
  </si>
  <si>
    <t>B11. Finish Goods Storage &amp; Delivery</t>
  </si>
  <si>
    <t>EXIM SPV</t>
  </si>
  <si>
    <t>FATP-EXIM JMGR</t>
  </si>
  <si>
    <t>(FSD)</t>
  </si>
  <si>
    <t>SPV PPC,
SPV PPC</t>
  </si>
  <si>
    <t>C1. Plant &amp; Facility Planning</t>
  </si>
  <si>
    <t>UTILITY SPV</t>
  </si>
  <si>
    <t>PGA SSPV</t>
  </si>
  <si>
    <t>(PFP)</t>
  </si>
  <si>
    <t>MTC SSPV</t>
  </si>
  <si>
    <t>ENG SPV</t>
  </si>
  <si>
    <t xml:space="preserve">Yachrul Herwantoro,
David Agung F
</t>
  </si>
  <si>
    <t>SPV ENG,
SPV ENG</t>
  </si>
  <si>
    <t>C2. Equipment &amp; Tooling Management</t>
  </si>
  <si>
    <t>Yachrul Herwantoro,
David Agung F</t>
  </si>
  <si>
    <t>(ETM)</t>
  </si>
  <si>
    <t>Tatag Kristiyantoro,
David Agung F</t>
  </si>
  <si>
    <t>MTC SPV</t>
  </si>
  <si>
    <t>C3. Preventive and Predictive Maintenance</t>
  </si>
  <si>
    <t>(PPM)</t>
  </si>
  <si>
    <t>C4. Control of Measuring Devices</t>
  </si>
  <si>
    <t>(CMD)</t>
  </si>
  <si>
    <t>david.a@jai.co.id,
yachrul.h@jai.co.id,
toni.w@jai.co.id</t>
  </si>
  <si>
    <t>David Agung F,
Yachrul Herwantoro,
Toni Wijaya</t>
  </si>
  <si>
    <t>SPV ENG,
SPV ENG,
SSPV QA</t>
  </si>
  <si>
    <t>EMAIL</t>
  </si>
  <si>
    <t>NAMA</t>
  </si>
  <si>
    <t>Afianty Mardiana</t>
  </si>
  <si>
    <t>CAN</t>
  </si>
  <si>
    <t>Agung Indrayana</t>
  </si>
  <si>
    <t>TWC</t>
  </si>
  <si>
    <t>AES</t>
  </si>
  <si>
    <t>andik.e@jai.co.id</t>
  </si>
  <si>
    <t>Andik Eko S</t>
  </si>
  <si>
    <t>EME</t>
  </si>
  <si>
    <t>Arianto Setiawan</t>
  </si>
  <si>
    <t>LNA</t>
  </si>
  <si>
    <t>lia.n@jai.co.id</t>
  </si>
  <si>
    <t>Arie Tri Hertati</t>
  </si>
  <si>
    <t>VSU</t>
  </si>
  <si>
    <t>verry.s@jai.co.id</t>
  </si>
  <si>
    <t>Arif Yusuf S</t>
  </si>
  <si>
    <t>Aris Cahyono</t>
  </si>
  <si>
    <t>DHA</t>
  </si>
  <si>
    <t>Atiek Sriwahyuni</t>
  </si>
  <si>
    <t>APN</t>
  </si>
  <si>
    <t>avif.p@jai.co.id</t>
  </si>
  <si>
    <t>Avif Prima N</t>
  </si>
  <si>
    <t>DKP</t>
  </si>
  <si>
    <t>BSU</t>
  </si>
  <si>
    <t>binti.s@jai.co.id</t>
  </si>
  <si>
    <t>Binti Susiati</t>
  </si>
  <si>
    <t>Catur Haryoko</t>
  </si>
  <si>
    <t>IAM</t>
  </si>
  <si>
    <t>ira.a@jai.co.id</t>
  </si>
  <si>
    <t>DHS</t>
  </si>
  <si>
    <t>Danny Harly S</t>
  </si>
  <si>
    <t>DAF</t>
  </si>
  <si>
    <t>david.a@jai.co.id</t>
  </si>
  <si>
    <t>David Agung F</t>
  </si>
  <si>
    <t>RED</t>
  </si>
  <si>
    <t>David Krestiyawan</t>
  </si>
  <si>
    <t>NAF</t>
  </si>
  <si>
    <t>arthana.f@jai.co.id</t>
  </si>
  <si>
    <t>Dwi Asih S</t>
  </si>
  <si>
    <t>KIW</t>
  </si>
  <si>
    <t>Elfira Hertanti</t>
  </si>
  <si>
    <t>RAY</t>
  </si>
  <si>
    <t>Endang Sriningsih</t>
  </si>
  <si>
    <t>Evaningsih M</t>
  </si>
  <si>
    <t>MRA</t>
  </si>
  <si>
    <t>ferry.i@jai.co.id</t>
  </si>
  <si>
    <t>Ferry Irawan</t>
  </si>
  <si>
    <t>WHS SPV</t>
  </si>
  <si>
    <t>YFI</t>
  </si>
  <si>
    <t>GAM</t>
  </si>
  <si>
    <t>Ghaitsul Amthari</t>
  </si>
  <si>
    <t>Hary Setyo W</t>
  </si>
  <si>
    <t>HYU</t>
  </si>
  <si>
    <t>heru.y@jai.co.id</t>
  </si>
  <si>
    <t>Hayu Prasetyo U</t>
  </si>
  <si>
    <t>Hendy Mustika Adi</t>
  </si>
  <si>
    <t>UFA</t>
  </si>
  <si>
    <t>Heru Yudianto</t>
  </si>
  <si>
    <t>Ika Yuni SR</t>
  </si>
  <si>
    <t>Ira Ayu M</t>
  </si>
  <si>
    <t>TSU</t>
  </si>
  <si>
    <t>Kartono</t>
  </si>
  <si>
    <t>Lia Noviana</t>
  </si>
  <si>
    <t>Lilis Setyowati</t>
  </si>
  <si>
    <t>Lita Darmawanti</t>
  </si>
  <si>
    <t>M. Machyudin Rafi</t>
  </si>
  <si>
    <t>M Chasan Basri</t>
  </si>
  <si>
    <t>Nindya Arthana F</t>
  </si>
  <si>
    <t>NUR</t>
  </si>
  <si>
    <t>Noviasari Ika A</t>
  </si>
  <si>
    <t>OVI</t>
  </si>
  <si>
    <t>Nurdianengseh</t>
  </si>
  <si>
    <t>Okti Vitasari</t>
  </si>
  <si>
    <t>RFI</t>
  </si>
  <si>
    <t>Riska Oktavita</t>
  </si>
  <si>
    <t>Rizal Firmansyah</t>
  </si>
  <si>
    <t>Shinta Feriyanti</t>
  </si>
  <si>
    <t>TKR</t>
  </si>
  <si>
    <t>tatag.k@jai.co.id</t>
  </si>
  <si>
    <t>Sri Sepfi Setyowati</t>
  </si>
  <si>
    <t>Tatag Kristiyantoro</t>
  </si>
  <si>
    <t>WSU</t>
  </si>
  <si>
    <t>Toni Wijaya</t>
  </si>
  <si>
    <t>Umar Fahroni</t>
  </si>
  <si>
    <t>Verry Sabta U</t>
  </si>
  <si>
    <t>Vinny Rahmawati</t>
  </si>
  <si>
    <t>Witdyastuti Suroto</t>
  </si>
  <si>
    <t>Wiwin Windarwati</t>
  </si>
  <si>
    <t>Yachrul Herwantoro</t>
  </si>
  <si>
    <t>Yuli Fikriyah</t>
  </si>
  <si>
    <t>Cahyo Adi Nugroho</t>
  </si>
  <si>
    <t>Teguh Wicaksono</t>
  </si>
  <si>
    <t>Dedy Hariawan</t>
  </si>
  <si>
    <t>Evis Methawan</t>
  </si>
  <si>
    <t>Kholiq Imam W</t>
  </si>
  <si>
    <t>MTC MGR</t>
  </si>
  <si>
    <t>Ratna Adi Yuniar</t>
  </si>
  <si>
    <t>ENG MGR</t>
  </si>
  <si>
    <t>M. Riza Aviev</t>
  </si>
  <si>
    <t>MPC-WHS JMGR</t>
  </si>
  <si>
    <t>Robertus Edy P</t>
  </si>
  <si>
    <t>Dedi Kurniawan P</t>
  </si>
  <si>
    <t>PPC JMGR</t>
  </si>
  <si>
    <t>Teguh Sunjoyo</t>
  </si>
  <si>
    <t>PSP SSPV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</si>
</sst>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2"/>
      <name val="Arial Narrow"/>
      <family val="2"/>
    </font>
    <font>
      <u/>
      <sz val="11"/>
      <color theme="1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3" fillId="0" borderId="3" xfId="2" applyBorder="1" applyAlignment="1" applyProtection="1">
      <alignment vertical="center"/>
    </xf>
    <xf numFmtId="164" fontId="2" fillId="0" borderId="4" xfId="1" applyFont="1" applyFill="1" applyBorder="1" applyAlignment="1">
      <alignment horizontal="center" vertical="center"/>
    </xf>
    <xf numFmtId="1" fontId="2" fillId="2" borderId="4" xfId="1" quotePrefix="1" applyNumberFormat="1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/>
    <xf numFmtId="0" fontId="2" fillId="2" borderId="4" xfId="1" applyNumberFormat="1" applyFont="1" applyFill="1" applyBorder="1" applyAlignment="1">
      <alignment horizontal="center" vertical="center"/>
    </xf>
    <xf numFmtId="0" fontId="3" fillId="0" borderId="5" xfId="2" applyBorder="1" applyAlignment="1" applyProtection="1">
      <alignment vertical="center"/>
    </xf>
    <xf numFmtId="164" fontId="2" fillId="2" borderId="4" xfId="2" applyNumberFormat="1" applyFont="1" applyFill="1" applyBorder="1" applyAlignment="1" applyProtection="1">
      <alignment horizontal="center" vertical="center" wrapText="1"/>
    </xf>
    <xf numFmtId="0" fontId="2" fillId="0" borderId="4" xfId="2" applyFont="1" applyBorder="1" applyAlignment="1" applyProtection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2" applyFill="1" applyBorder="1" applyAlignment="1" applyProtection="1">
      <alignment vertical="center"/>
    </xf>
    <xf numFmtId="1" fontId="2" fillId="0" borderId="4" xfId="1" quotePrefix="1" applyNumberFormat="1" applyFont="1" applyFill="1" applyBorder="1" applyAlignment="1">
      <alignment horizontal="center" vertical="center"/>
    </xf>
    <xf numFmtId="17" fontId="2" fillId="2" borderId="4" xfId="1" applyNumberFormat="1" applyFont="1" applyFill="1" applyBorder="1" applyAlignment="1">
      <alignment horizontal="center" vertical="center"/>
    </xf>
    <xf numFmtId="0" fontId="3" fillId="0" borderId="3" xfId="2" applyFill="1" applyBorder="1" applyAlignment="1" applyProtection="1">
      <alignment horizontal="left" vertical="center"/>
    </xf>
    <xf numFmtId="164" fontId="3" fillId="0" borderId="3" xfId="2" applyNumberFormat="1" applyFill="1" applyBorder="1" applyAlignment="1" applyProtection="1">
      <alignment horizontal="left" vertical="center"/>
    </xf>
    <xf numFmtId="0" fontId="3" fillId="0" borderId="3" xfId="2" applyBorder="1" applyAlignment="1" applyProtection="1">
      <alignment vertical="center" wrapText="1"/>
    </xf>
    <xf numFmtId="1" fontId="2" fillId="2" borderId="4" xfId="1" applyNumberFormat="1" applyFont="1" applyFill="1" applyBorder="1" applyAlignment="1">
      <alignment horizontal="center" vertical="center"/>
    </xf>
    <xf numFmtId="164" fontId="3" fillId="2" borderId="3" xfId="2" applyNumberFormat="1" applyFill="1" applyBorder="1" applyAlignment="1" applyProtection="1">
      <alignment horizontal="left" vertical="center"/>
    </xf>
    <xf numFmtId="164" fontId="2" fillId="0" borderId="4" xfId="2" applyNumberFormat="1" applyFont="1" applyFill="1" applyBorder="1" applyAlignment="1" applyProtection="1">
      <alignment horizontal="center" vertical="center" wrapText="1"/>
    </xf>
    <xf numFmtId="164" fontId="2" fillId="0" borderId="4" xfId="2" applyNumberFormat="1" applyFont="1" applyFill="1" applyBorder="1" applyAlignment="1" applyProtection="1">
      <alignment horizontal="center" vertical="center"/>
    </xf>
    <xf numFmtId="0" fontId="3" fillId="2" borderId="3" xfId="2" applyFill="1" applyBorder="1" applyAlignment="1" applyProtection="1">
      <alignment vertical="center"/>
    </xf>
    <xf numFmtId="0" fontId="3" fillId="0" borderId="5" xfId="2" quotePrefix="1" applyFill="1" applyBorder="1" applyAlignment="1" applyProtection="1">
      <alignment vertical="center"/>
    </xf>
    <xf numFmtId="0" fontId="3" fillId="0" borderId="3" xfId="2" applyFill="1" applyBorder="1" applyAlignment="1" applyProtection="1">
      <alignment vertical="center" wrapText="1"/>
    </xf>
    <xf numFmtId="0" fontId="3" fillId="0" borderId="5" xfId="2" applyFill="1" applyBorder="1" applyAlignment="1" applyProtection="1">
      <alignment vertical="center"/>
    </xf>
    <xf numFmtId="0" fontId="3" fillId="0" borderId="3" xfId="2" applyBorder="1" applyAlignment="1" applyProtection="1">
      <alignment horizontal="left" vertical="center"/>
    </xf>
    <xf numFmtId="164" fontId="2" fillId="2" borderId="4" xfId="1" applyFont="1" applyFill="1" applyBorder="1" applyAlignment="1">
      <alignment horizontal="center" vertical="center" wrapText="1"/>
    </xf>
    <xf numFmtId="0" fontId="2" fillId="0" borderId="4" xfId="2" applyFont="1" applyFill="1" applyBorder="1" applyAlignment="1" applyProtection="1">
      <alignment horizontal="center" vertical="center"/>
    </xf>
    <xf numFmtId="164" fontId="3" fillId="0" borderId="3" xfId="2" applyNumberFormat="1" applyFill="1" applyBorder="1" applyAlignment="1" applyProtection="1">
      <alignment vertical="center"/>
    </xf>
    <xf numFmtId="0" fontId="3" fillId="0" borderId="4" xfId="2" applyFill="1" applyBorder="1" applyAlignment="1" applyProtection="1">
      <alignment vertical="center"/>
    </xf>
    <xf numFmtId="0" fontId="3" fillId="0" borderId="4" xfId="2" applyBorder="1" applyAlignment="1" applyProtection="1">
      <alignment vertical="center"/>
    </xf>
    <xf numFmtId="0" fontId="2" fillId="2" borderId="6" xfId="1" applyNumberFormat="1" applyFont="1" applyFill="1" applyBorder="1" applyAlignment="1">
      <alignment horizontal="center" vertical="center"/>
    </xf>
    <xf numFmtId="0" fontId="3" fillId="0" borderId="6" xfId="2" applyFill="1" applyBorder="1" applyAlignment="1" applyProtection="1">
      <alignment vertical="center"/>
    </xf>
    <xf numFmtId="164" fontId="2" fillId="0" borderId="6" xfId="1" applyFont="1" applyFill="1" applyBorder="1" applyAlignment="1">
      <alignment horizontal="center" vertical="center"/>
    </xf>
    <xf numFmtId="1" fontId="2" fillId="0" borderId="6" xfId="1" quotePrefix="1" applyNumberFormat="1" applyFont="1" applyFill="1" applyBorder="1" applyAlignment="1">
      <alignment horizontal="center" vertical="center"/>
    </xf>
    <xf numFmtId="164" fontId="2" fillId="2" borderId="6" xfId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2" applyAlignment="1" applyProtection="1"/>
    <xf numFmtId="0" fontId="0" fillId="3" borderId="0" xfId="0" applyFill="1"/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9" xfId="2" applyBorder="1" applyAlignment="1" applyProtection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5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/>
    </xf>
    <xf numFmtId="0" fontId="2" fillId="0" borderId="4" xfId="2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1" applyFont="1" applyFill="1" applyBorder="1" applyAlignment="1">
      <alignment horizontal="center" vertical="center" wrapText="1"/>
    </xf>
    <xf numFmtId="0" fontId="3" fillId="0" borderId="4" xfId="2" applyFill="1" applyBorder="1" applyAlignment="1" applyProtection="1">
      <alignment horizontal="left" vertical="center"/>
    </xf>
    <xf numFmtId="164" fontId="3" fillId="0" borderId="4" xfId="2" applyNumberFormat="1" applyFill="1" applyBorder="1" applyAlignment="1" applyProtection="1">
      <alignment horizontal="left" vertical="center"/>
    </xf>
    <xf numFmtId="0" fontId="3" fillId="0" borderId="4" xfId="2" applyBorder="1" applyAlignment="1" applyProtection="1">
      <alignment vertical="center" wrapText="1"/>
    </xf>
    <xf numFmtId="164" fontId="3" fillId="2" borderId="4" xfId="2" applyNumberFormat="1" applyFill="1" applyBorder="1" applyAlignment="1" applyProtection="1">
      <alignment horizontal="left" vertical="center"/>
    </xf>
    <xf numFmtId="0" fontId="3" fillId="2" borderId="4" xfId="2" applyFill="1" applyBorder="1" applyAlignment="1" applyProtection="1">
      <alignment vertical="center"/>
    </xf>
    <xf numFmtId="0" fontId="3" fillId="0" borderId="4" xfId="2" quotePrefix="1" applyFill="1" applyBorder="1" applyAlignment="1" applyProtection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4" xfId="2" applyFill="1" applyBorder="1" applyAlignment="1" applyProtection="1">
      <alignment vertical="center" wrapText="1"/>
    </xf>
    <xf numFmtId="0" fontId="3" fillId="0" borderId="4" xfId="2" applyBorder="1" applyAlignment="1" applyProtection="1">
      <alignment horizontal="left" vertical="center"/>
    </xf>
    <xf numFmtId="164" fontId="3" fillId="0" borderId="4" xfId="2" applyNumberFormat="1" applyFill="1" applyBorder="1" applyAlignment="1" applyProtection="1">
      <alignment vertical="center"/>
    </xf>
    <xf numFmtId="0" fontId="2" fillId="2" borderId="10" xfId="1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0" borderId="2" xfId="2" applyFont="1" applyBorder="1" applyAlignment="1" applyProtection="1"/>
    <xf numFmtId="0" fontId="0" fillId="0" borderId="2" xfId="0" applyFill="1" applyBorder="1"/>
    <xf numFmtId="0" fontId="0" fillId="0" borderId="11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4" xfId="2" applyFont="1" applyBorder="1" applyAlignment="1" applyProtection="1"/>
    <xf numFmtId="0" fontId="0" fillId="0" borderId="4" xfId="0" applyBorder="1"/>
    <xf numFmtId="0" fontId="0" fillId="0" borderId="4" xfId="0" applyFill="1" applyBorder="1" applyAlignment="1">
      <alignment horizontal="center" vertical="center"/>
    </xf>
    <xf numFmtId="0" fontId="3" fillId="0" borderId="4" xfId="2" applyBorder="1" applyAlignment="1" applyProtection="1"/>
    <xf numFmtId="0" fontId="3" fillId="0" borderId="4" xfId="2" applyFill="1" applyBorder="1" applyAlignment="1" applyProtection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2" applyFill="1" applyBorder="1" applyAlignment="1" applyProtection="1">
      <alignment horizontal="center" vertical="center"/>
    </xf>
    <xf numFmtId="0" fontId="0" fillId="0" borderId="6" xfId="0" applyBorder="1" applyAlignment="1">
      <alignment horizontal="center"/>
    </xf>
    <xf numFmtId="0" fontId="8" fillId="0" borderId="6" xfId="2" applyFont="1" applyBorder="1" applyAlignment="1" applyProtection="1"/>
    <xf numFmtId="0" fontId="0" fillId="0" borderId="6" xfId="0" applyBorder="1"/>
    <xf numFmtId="0" fontId="0" fillId="0" borderId="0" xfId="0" applyFill="1" applyBorder="1" applyAlignment="1">
      <alignment horizontal="center" vertical="center"/>
    </xf>
    <xf numFmtId="0" fontId="0" fillId="0" borderId="15" xfId="0" applyFill="1" applyBorder="1"/>
    <xf numFmtId="0" fontId="0" fillId="4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2" borderId="12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13" xfId="1" applyNumberFormat="1" applyFont="1" applyFill="1" applyBorder="1" applyAlignment="1">
      <alignment horizontal="center" vertical="center"/>
    </xf>
    <xf numFmtId="0" fontId="2" fillId="2" borderId="11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2" fillId="2" borderId="14" xfId="1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28</xdr:row>
      <xdr:rowOff>63500</xdr:rowOff>
    </xdr:from>
    <xdr:to>
      <xdr:col>2</xdr:col>
      <xdr:colOff>3175</xdr:colOff>
      <xdr:row>28</xdr:row>
      <xdr:rowOff>170424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42000" y="7969250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  <xdr:twoCellAnchor>
    <xdr:from>
      <xdr:col>2</xdr:col>
      <xdr:colOff>3175</xdr:colOff>
      <xdr:row>13</xdr:row>
      <xdr:rowOff>63500</xdr:rowOff>
    </xdr:from>
    <xdr:to>
      <xdr:col>2</xdr:col>
      <xdr:colOff>3175</xdr:colOff>
      <xdr:row>13</xdr:row>
      <xdr:rowOff>170424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42000" y="3368675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29</xdr:row>
      <xdr:rowOff>63500</xdr:rowOff>
    </xdr:from>
    <xdr:to>
      <xdr:col>3</xdr:col>
      <xdr:colOff>3175</xdr:colOff>
      <xdr:row>29</xdr:row>
      <xdr:rowOff>170424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308600" y="14960600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  <xdr:twoCellAnchor>
    <xdr:from>
      <xdr:col>3</xdr:col>
      <xdr:colOff>3175</xdr:colOff>
      <xdr:row>14</xdr:row>
      <xdr:rowOff>63500</xdr:rowOff>
    </xdr:from>
    <xdr:to>
      <xdr:col>3</xdr:col>
      <xdr:colOff>3175</xdr:colOff>
      <xdr:row>14</xdr:row>
      <xdr:rowOff>170424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08600" y="6359525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SA/00.%20PROSEDUR/D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D"/>
      <sheetName val="DID 2019"/>
      <sheetName val="DID 2021"/>
      <sheetName val="DID 2022"/>
      <sheetName val="DID 2023"/>
      <sheetName val="DID 2024"/>
      <sheetName val="DID 2025"/>
      <sheetName val="DID 2026"/>
      <sheetName val="Matrik Approval"/>
      <sheetName val="list P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EMAIL</v>
          </cell>
          <cell r="D1" t="str">
            <v>NAMA</v>
          </cell>
          <cell r="E1" t="str">
            <v>JABATAN</v>
          </cell>
        </row>
        <row r="2">
          <cell r="C2" t="str">
            <v>afianty.m@jai.co.id</v>
          </cell>
          <cell r="D2" t="str">
            <v>Afianty Mardiana</v>
          </cell>
          <cell r="E2" t="str">
            <v>PP SPV</v>
          </cell>
        </row>
        <row r="3">
          <cell r="C3" t="str">
            <v>agung.i@jai.co.id</v>
          </cell>
          <cell r="D3" t="str">
            <v>Agung Indrayana</v>
          </cell>
          <cell r="E3" t="str">
            <v>PGA SSPV</v>
          </cell>
        </row>
        <row r="4">
          <cell r="C4" t="str">
            <v>andik.e@jai.co.id</v>
          </cell>
          <cell r="D4" t="str">
            <v>Andik Eko S</v>
          </cell>
          <cell r="E4" t="str">
            <v>QA SPV</v>
          </cell>
        </row>
        <row r="5">
          <cell r="C5" t="str">
            <v>arianto.s@jai.co.id</v>
          </cell>
          <cell r="D5" t="str">
            <v>Arianto Setiawan</v>
          </cell>
          <cell r="E5" t="str">
            <v>EXIM SPV</v>
          </cell>
        </row>
        <row r="6">
          <cell r="C6" t="str">
            <v>arie.t@jai.co.id</v>
          </cell>
          <cell r="D6" t="str">
            <v>Arie Tri Hertati</v>
          </cell>
          <cell r="E6" t="str">
            <v>HR-IR SSPV</v>
          </cell>
        </row>
        <row r="7">
          <cell r="C7" t="str">
            <v>arif.y@jai.co.id</v>
          </cell>
          <cell r="D7" t="str">
            <v>Arif Yusuf S</v>
          </cell>
          <cell r="E7" t="str">
            <v>PPC SPV</v>
          </cell>
        </row>
        <row r="8">
          <cell r="C8" t="str">
            <v>aris.c@jai.co.id</v>
          </cell>
          <cell r="D8" t="str">
            <v>Aris Cahyono</v>
          </cell>
          <cell r="E8" t="str">
            <v>UTILITY SPV</v>
          </cell>
        </row>
        <row r="9">
          <cell r="C9" t="str">
            <v>atiek.s@jai.co.id</v>
          </cell>
          <cell r="D9" t="str">
            <v>Atiek Sriwahyuni</v>
          </cell>
          <cell r="E9" t="str">
            <v>QA SPV</v>
          </cell>
        </row>
        <row r="10">
          <cell r="C10" t="str">
            <v>avif.p@jai.co.id</v>
          </cell>
          <cell r="D10" t="str">
            <v>Avif Prima N</v>
          </cell>
          <cell r="E10" t="str">
            <v>PPC SPV</v>
          </cell>
        </row>
        <row r="11">
          <cell r="C11" t="str">
            <v>binti.s@jai.co.id</v>
          </cell>
          <cell r="D11" t="str">
            <v>Binti Susiati</v>
          </cell>
          <cell r="E11" t="str">
            <v>PROD SPV</v>
          </cell>
        </row>
        <row r="12">
          <cell r="C12" t="str">
            <v>catur.h@jai.co.id</v>
          </cell>
          <cell r="D12" t="str">
            <v>Catur Haryoko</v>
          </cell>
          <cell r="E12" t="str">
            <v>DE SPV</v>
          </cell>
        </row>
        <row r="13">
          <cell r="C13" t="str">
            <v>danny.h@jai.co.id</v>
          </cell>
          <cell r="D13" t="str">
            <v>Danny Harly S</v>
          </cell>
          <cell r="E13" t="str">
            <v>ENG SSPV</v>
          </cell>
        </row>
        <row r="14">
          <cell r="C14" t="str">
            <v>david.a@jai.co.id</v>
          </cell>
          <cell r="D14" t="str">
            <v>David Agung F</v>
          </cell>
          <cell r="E14" t="str">
            <v>ENG SPV</v>
          </cell>
        </row>
        <row r="15">
          <cell r="C15" t="str">
            <v>david.k@jai.co.id</v>
          </cell>
          <cell r="D15" t="str">
            <v>David Krestiyawan</v>
          </cell>
          <cell r="E15" t="str">
            <v>EXIM SPV</v>
          </cell>
        </row>
        <row r="16">
          <cell r="C16" t="str">
            <v>dwi.as@jai.co.id</v>
          </cell>
          <cell r="D16" t="str">
            <v>Dwi Asih S</v>
          </cell>
          <cell r="E16" t="str">
            <v>MPC SPV</v>
          </cell>
        </row>
        <row r="17">
          <cell r="C17" t="str">
            <v>pricing1@jai.co.id</v>
          </cell>
          <cell r="D17" t="str">
            <v>Elfira Hertanti</v>
          </cell>
          <cell r="E17" t="str">
            <v>FATP JSPV</v>
          </cell>
        </row>
        <row r="18">
          <cell r="C18" t="str">
            <v>endang.s@jai.co.id</v>
          </cell>
          <cell r="D18" t="str">
            <v>Endang Sriningsih</v>
          </cell>
          <cell r="E18" t="str">
            <v>PROD SSPV</v>
          </cell>
        </row>
        <row r="19">
          <cell r="C19" t="str">
            <v>evaningsih@jai.co.id</v>
          </cell>
          <cell r="D19" t="str">
            <v>Evaningsih M</v>
          </cell>
          <cell r="E19" t="str">
            <v>PPC SSPV</v>
          </cell>
        </row>
        <row r="20">
          <cell r="C20" t="str">
            <v>ferry.i@jai.co.id</v>
          </cell>
          <cell r="D20" t="str">
            <v>Ferry Irawan</v>
          </cell>
          <cell r="E20" t="str">
            <v>WHS SPV</v>
          </cell>
        </row>
        <row r="21">
          <cell r="C21" t="str">
            <v>ghaitsul.a@jai.co.id</v>
          </cell>
          <cell r="D21" t="str">
            <v>Ghaitsul Amthari</v>
          </cell>
          <cell r="E21" t="str">
            <v>MTC SPV</v>
          </cell>
        </row>
        <row r="22">
          <cell r="C22" t="str">
            <v>hary.sw@jai.co.id</v>
          </cell>
          <cell r="D22" t="str">
            <v>Hary Setyo W</v>
          </cell>
          <cell r="E22" t="str">
            <v>NYS SPV</v>
          </cell>
        </row>
        <row r="23">
          <cell r="C23" t="str">
            <v>hayu.p@jai.co.id</v>
          </cell>
          <cell r="D23" t="str">
            <v>Hayu Prasetyo U</v>
          </cell>
          <cell r="E23" t="str">
            <v>PGA SSPV</v>
          </cell>
        </row>
        <row r="24">
          <cell r="C24" t="str">
            <v>hendy.m@jai.co.id</v>
          </cell>
          <cell r="D24" t="str">
            <v>Hendy Mustika Adi</v>
          </cell>
          <cell r="E24" t="str">
            <v>IT SPV</v>
          </cell>
        </row>
        <row r="25">
          <cell r="C25" t="str">
            <v>heru.y@jai.co.id</v>
          </cell>
          <cell r="D25" t="str">
            <v>Heru Yudianto</v>
          </cell>
          <cell r="E25" t="str">
            <v>WHS SPV</v>
          </cell>
        </row>
        <row r="26">
          <cell r="C26" t="str">
            <v>ika.y@jai.co.id</v>
          </cell>
          <cell r="D26" t="str">
            <v>Ika Yuni SR</v>
          </cell>
          <cell r="E26" t="str">
            <v>QSA SPV</v>
          </cell>
        </row>
        <row r="27">
          <cell r="C27" t="str">
            <v>ira.a@jai.co.id</v>
          </cell>
          <cell r="D27" t="str">
            <v>Ira Ayu M</v>
          </cell>
          <cell r="E27" t="str">
            <v>PPC SPV</v>
          </cell>
        </row>
        <row r="28">
          <cell r="C28" t="str">
            <v>kartono@jai.co.id</v>
          </cell>
          <cell r="D28" t="str">
            <v>Kartono</v>
          </cell>
          <cell r="E28" t="str">
            <v>ENG SPV</v>
          </cell>
        </row>
        <row r="29">
          <cell r="C29" t="str">
            <v>lia.n@jai.co.id</v>
          </cell>
          <cell r="D29" t="str">
            <v>Lia Noviana</v>
          </cell>
          <cell r="E29" t="str">
            <v>QA SPV</v>
          </cell>
        </row>
        <row r="30">
          <cell r="C30" t="str">
            <v>lilis.s@jai.co.id</v>
          </cell>
          <cell r="D30" t="str">
            <v>Lilis Setyowati</v>
          </cell>
          <cell r="E30" t="str">
            <v>NYS SPV</v>
          </cell>
        </row>
        <row r="31">
          <cell r="C31" t="str">
            <v>lita.d@jai.co.id</v>
          </cell>
          <cell r="D31" t="str">
            <v>Lita Darmawanti</v>
          </cell>
          <cell r="E31" t="str">
            <v>SSPV PSP</v>
          </cell>
        </row>
        <row r="32">
          <cell r="C32" t="str">
            <v>m.rafi@jai.co.id</v>
          </cell>
          <cell r="D32" t="str">
            <v>M. Machyudin Rafi</v>
          </cell>
          <cell r="E32" t="str">
            <v>MPC SPV</v>
          </cell>
        </row>
        <row r="33">
          <cell r="C33" t="str">
            <v>m.chasan@jai.co.id</v>
          </cell>
          <cell r="D33" t="str">
            <v>M Chasan Basri</v>
          </cell>
          <cell r="E33" t="str">
            <v>MTC SSPV</v>
          </cell>
        </row>
        <row r="34">
          <cell r="C34" t="str">
            <v>arthana.f@jai.co.id</v>
          </cell>
          <cell r="D34" t="str">
            <v>Nindya Arthana F</v>
          </cell>
          <cell r="E34" t="str">
            <v>PROD SPV</v>
          </cell>
        </row>
        <row r="35">
          <cell r="C35" t="str">
            <v>noivasari@jai.co.id</v>
          </cell>
          <cell r="D35" t="str">
            <v>Noviasari Ika A</v>
          </cell>
          <cell r="E35" t="str">
            <v>IR SPV</v>
          </cell>
        </row>
        <row r="36">
          <cell r="C36" t="str">
            <v>nurdianengseh@jai.co.id</v>
          </cell>
          <cell r="D36" t="str">
            <v>Nurdianengseh</v>
          </cell>
          <cell r="E36" t="str">
            <v>TRN SPV</v>
          </cell>
        </row>
        <row r="37">
          <cell r="C37" t="str">
            <v>okti.v@jai.co.id</v>
          </cell>
          <cell r="D37" t="str">
            <v>Okti Vitasari</v>
          </cell>
          <cell r="E37" t="str">
            <v>PROD SPV</v>
          </cell>
        </row>
        <row r="38">
          <cell r="C38" t="str">
            <v>riska.o@jai.co.id</v>
          </cell>
          <cell r="D38" t="str">
            <v>Riska Oktavita</v>
          </cell>
          <cell r="E38" t="str">
            <v>PURCH SPV</v>
          </cell>
        </row>
        <row r="39">
          <cell r="C39" t="str">
            <v>rizal.f@jai.co.id</v>
          </cell>
          <cell r="D39" t="str">
            <v>Rizal Firmansyah</v>
          </cell>
          <cell r="E39" t="str">
            <v>MTC SPV</v>
          </cell>
        </row>
        <row r="40">
          <cell r="C40" t="str">
            <v>shinta.f@jai.co.id</v>
          </cell>
          <cell r="D40" t="str">
            <v>Shinta Feriyanti</v>
          </cell>
          <cell r="E40" t="str">
            <v>QC CHECK WH SPV</v>
          </cell>
        </row>
        <row r="41">
          <cell r="C41" t="str">
            <v>sepfi.s@jai.co.id</v>
          </cell>
          <cell r="D41" t="str">
            <v>Sri Sepfi Setyowati</v>
          </cell>
          <cell r="E41" t="str">
            <v>QC REC &amp; MSA SPV</v>
          </cell>
        </row>
        <row r="42">
          <cell r="C42" t="str">
            <v>tatag.k@jai.co.id</v>
          </cell>
          <cell r="D42" t="str">
            <v>Tatag Kristiyantoro</v>
          </cell>
          <cell r="E42" t="str">
            <v>ENG SPV</v>
          </cell>
        </row>
        <row r="43">
          <cell r="C43" t="str">
            <v>toni.w@jai.co.id</v>
          </cell>
          <cell r="D43" t="str">
            <v>Toni Wijaya</v>
          </cell>
          <cell r="E43" t="str">
            <v>QA SSPV</v>
          </cell>
        </row>
        <row r="44">
          <cell r="C44" t="str">
            <v>umar.f@jai.co.id</v>
          </cell>
          <cell r="D44" t="str">
            <v>Umar Fahroni</v>
          </cell>
          <cell r="E44" t="str">
            <v>NYS SSPV</v>
          </cell>
        </row>
        <row r="45">
          <cell r="C45" t="str">
            <v>verry.s@jai.co.id</v>
          </cell>
          <cell r="D45" t="str">
            <v>Verry Sabta U</v>
          </cell>
          <cell r="E45" t="str">
            <v>QA SPV</v>
          </cell>
        </row>
        <row r="46">
          <cell r="C46" t="str">
            <v>vinny.r@jai.co.id</v>
          </cell>
          <cell r="D46" t="str">
            <v>Vinny Rahmawati</v>
          </cell>
          <cell r="E46" t="str">
            <v>DSG SPV</v>
          </cell>
        </row>
        <row r="47">
          <cell r="C47" t="str">
            <v>widyastuti.s@jai.co.id</v>
          </cell>
          <cell r="D47" t="str">
            <v>Witdyastuti Suroto</v>
          </cell>
          <cell r="E47" t="str">
            <v>MTC SPV</v>
          </cell>
        </row>
        <row r="48">
          <cell r="C48" t="str">
            <v>wiwin.w@jai.co.id</v>
          </cell>
          <cell r="D48" t="str">
            <v>Wiwin Windarwati</v>
          </cell>
          <cell r="E48" t="str">
            <v>TRN SSPV</v>
          </cell>
        </row>
        <row r="49">
          <cell r="C49" t="str">
            <v>yachrul.h@jai.co.id</v>
          </cell>
          <cell r="D49" t="str">
            <v>Yachrul Herwantoro</v>
          </cell>
          <cell r="E49" t="str">
            <v>ENG SPV</v>
          </cell>
        </row>
        <row r="50">
          <cell r="C50" t="str">
            <v>yuli.f@jai.co.id</v>
          </cell>
          <cell r="D50" t="str">
            <v>Yuli Fikriyah</v>
          </cell>
          <cell r="E50" t="str">
            <v>FATP SSPV</v>
          </cell>
        </row>
        <row r="51">
          <cell r="C51" t="str">
            <v>cahyo@jai.co.id</v>
          </cell>
          <cell r="D51" t="str">
            <v>Cahyo Adi Nugroho</v>
          </cell>
          <cell r="E51" t="str">
            <v>PGA SMGR</v>
          </cell>
        </row>
        <row r="52">
          <cell r="C52" t="str">
            <v>teguh.w@jai.co.id</v>
          </cell>
          <cell r="D52" t="str">
            <v>Teguh Wicaksono</v>
          </cell>
          <cell r="E52" t="str">
            <v>NYS MGR</v>
          </cell>
        </row>
        <row r="53">
          <cell r="C53" t="str">
            <v>dedy.h@jai.co.id</v>
          </cell>
          <cell r="D53" t="str">
            <v>Dedy Hariawan</v>
          </cell>
          <cell r="E53" t="str">
            <v>FATP-EXIM JMGR</v>
          </cell>
        </row>
        <row r="54">
          <cell r="C54" t="str">
            <v>evis.m@jai.co.id</v>
          </cell>
          <cell r="D54" t="str">
            <v>Evis Methawan</v>
          </cell>
          <cell r="E54" t="str">
            <v>QA MGR</v>
          </cell>
        </row>
        <row r="55">
          <cell r="C55" t="str">
            <v>kholiq@jai.co.id</v>
          </cell>
          <cell r="D55" t="str">
            <v>Kholiq Imam W</v>
          </cell>
          <cell r="E55" t="str">
            <v>MTC MGR</v>
          </cell>
        </row>
        <row r="56">
          <cell r="C56" t="str">
            <v>adi.y@jai.co.id</v>
          </cell>
          <cell r="D56" t="str">
            <v>Ratna Adi Yuniar</v>
          </cell>
          <cell r="E56" t="str">
            <v>ENG MGR</v>
          </cell>
        </row>
        <row r="57">
          <cell r="C57" t="str">
            <v>riza.a@jai.co.id</v>
          </cell>
          <cell r="D57" t="str">
            <v>M. Riza Aviev</v>
          </cell>
          <cell r="E57" t="str">
            <v>MPC-WHS JMGR</v>
          </cell>
        </row>
        <row r="58">
          <cell r="C58" t="str">
            <v>robertus.e@jai.co.id</v>
          </cell>
          <cell r="D58" t="str">
            <v>Robertus Edy P</v>
          </cell>
          <cell r="E58" t="str">
            <v>PROD SMGR</v>
          </cell>
        </row>
        <row r="59">
          <cell r="C59" t="str">
            <v>dedi.k@jai.co.id</v>
          </cell>
          <cell r="D59" t="str">
            <v>Dedi Kurniawan P</v>
          </cell>
          <cell r="E59" t="str">
            <v>PPC JMGR</v>
          </cell>
        </row>
        <row r="60">
          <cell r="C60" t="str">
            <v>teguh.s@jai.co.id</v>
          </cell>
          <cell r="D60" t="str">
            <v>Teguh Sunjoyo</v>
          </cell>
          <cell r="E60" t="str">
            <v>DFM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0.62.231.12:3000/index.php?option=com_jdownloads&amp;Itemid=53&amp;view=finish&amp;cid=12444&amp;catid=219" TargetMode="External"/><Relationship Id="rId299" Type="http://schemas.openxmlformats.org/officeDocument/2006/relationships/hyperlink" Target="mailto:tatag.k@jai.co.id,david.a@jai.co.id" TargetMode="External"/><Relationship Id="rId21" Type="http://schemas.openxmlformats.org/officeDocument/2006/relationships/hyperlink" Target="http://10.62.231.12:3000/index.php?option=com_jdownloads&amp;Itemid=53&amp;view=finish&amp;cid=14566&amp;catid=208" TargetMode="External"/><Relationship Id="rId63" Type="http://schemas.openxmlformats.org/officeDocument/2006/relationships/hyperlink" Target="http://10.62.231.12:3000/index.php?option=com_jdownloads&amp;Itemid=53&amp;view=finish&amp;cid=8794&amp;catid=214" TargetMode="External"/><Relationship Id="rId159" Type="http://schemas.openxmlformats.org/officeDocument/2006/relationships/hyperlink" Target="http://intrajai:3000/index.php?option=com_jdownloads&amp;Itemid=53&amp;view=finish&amp;cid=3906&amp;catid=221" TargetMode="External"/><Relationship Id="rId324" Type="http://schemas.openxmlformats.org/officeDocument/2006/relationships/hyperlink" Target="mailto:yachrul.h@jai.co.id," TargetMode="External"/><Relationship Id="rId170" Type="http://schemas.openxmlformats.org/officeDocument/2006/relationships/hyperlink" Target="http://intrajai:3000/index.php?option=com_jdownloads&amp;Itemid=53&amp;view=finish&amp;cid=14679&amp;catid=221" TargetMode="External"/><Relationship Id="rId226" Type="http://schemas.openxmlformats.org/officeDocument/2006/relationships/hyperlink" Target="http://10.62.231.12:3000/index.php?option=com_jdownloads&amp;Itemid=53&amp;view=finish&amp;cid=14902&amp;catid=227" TargetMode="External"/><Relationship Id="rId268" Type="http://schemas.openxmlformats.org/officeDocument/2006/relationships/hyperlink" Target="mailto:ira.a@jai.co.id" TargetMode="External"/><Relationship Id="rId32" Type="http://schemas.openxmlformats.org/officeDocument/2006/relationships/hyperlink" Target="http://intrajai:3000/index.php?option=com_jdownloads&amp;Itemid=53&amp;view=finish&amp;cid=2176&amp;catid=214" TargetMode="External"/><Relationship Id="rId74" Type="http://schemas.openxmlformats.org/officeDocument/2006/relationships/hyperlink" Target="http://10.62.231.12:3000/index.php?option=com_jdownloads&amp;Itemid=53&amp;view=finish&amp;cid=14744&amp;catid=214" TargetMode="External"/><Relationship Id="rId128" Type="http://schemas.openxmlformats.org/officeDocument/2006/relationships/hyperlink" Target="http://10.62.231.12:3000/index.php?option=com_jdownloads&amp;Itemid=53&amp;view=finish&amp;cid=12409&amp;catid=219" TargetMode="External"/><Relationship Id="rId335" Type="http://schemas.openxmlformats.org/officeDocument/2006/relationships/hyperlink" Target="mailto:andik.e@jai.co.id" TargetMode="External"/><Relationship Id="rId5" Type="http://schemas.openxmlformats.org/officeDocument/2006/relationships/hyperlink" Target="http://10.62.231.12:3000/index.php?option=com_jdownloads&amp;Itemid=53&amp;view=finish&amp;cid=12156&amp;catid=235" TargetMode="External"/><Relationship Id="rId181" Type="http://schemas.openxmlformats.org/officeDocument/2006/relationships/hyperlink" Target="http://10.62.231.12:3000/index.php?option=com_jdownloads&amp;Itemid=53&amp;view=finish&amp;cid=14921&amp;catid=222" TargetMode="External"/><Relationship Id="rId237" Type="http://schemas.openxmlformats.org/officeDocument/2006/relationships/hyperlink" Target="http://10.62.231.12:3000/index.php?option=com_jdownloads&amp;Itemid=53&amp;view=finish&amp;cid=12159&amp;catid=228" TargetMode="External"/><Relationship Id="rId279" Type="http://schemas.openxmlformats.org/officeDocument/2006/relationships/hyperlink" Target="mailto:endang.s@jai.co.id" TargetMode="External"/><Relationship Id="rId43" Type="http://schemas.openxmlformats.org/officeDocument/2006/relationships/hyperlink" Target="http://10.62.231.12:3000/index.php?option=com_jdownloads&amp;Itemid=53&amp;view=finish&amp;cid=11232&amp;catid=210" TargetMode="External"/><Relationship Id="rId139" Type="http://schemas.openxmlformats.org/officeDocument/2006/relationships/hyperlink" Target="http://10.62.231.12:3000/index.php?option=com_jdownloads&amp;Itemid=53&amp;view=finish&amp;cid=11245&amp;catid=221" TargetMode="External"/><Relationship Id="rId290" Type="http://schemas.openxmlformats.org/officeDocument/2006/relationships/hyperlink" Target="mailto:binti.s@jai.co.id" TargetMode="External"/><Relationship Id="rId304" Type="http://schemas.openxmlformats.org/officeDocument/2006/relationships/hyperlink" Target="mailto:andik.e@jai.co.id" TargetMode="External"/><Relationship Id="rId346" Type="http://schemas.openxmlformats.org/officeDocument/2006/relationships/hyperlink" Target="mailto:endang.s@jai.co.id" TargetMode="External"/><Relationship Id="rId85" Type="http://schemas.openxmlformats.org/officeDocument/2006/relationships/hyperlink" Target="http://10.62.231.12:3000/index.php?option=com_jdownloads&amp;Itemid=53&amp;view=finish&amp;cid=14908&amp;catid=216" TargetMode="External"/><Relationship Id="rId150" Type="http://schemas.openxmlformats.org/officeDocument/2006/relationships/hyperlink" Target="http://10.62.231.12:3000/index.php?option=com_jdownloads&amp;Itemid=53&amp;view=finish&amp;cid=12955&amp;catid=219" TargetMode="External"/><Relationship Id="rId192" Type="http://schemas.openxmlformats.org/officeDocument/2006/relationships/hyperlink" Target="http://10.62.231.12:3000/index.php?option=com_jdownloads&amp;Itemid=53&amp;view=finish&amp;cid=11148&amp;catid=223" TargetMode="External"/><Relationship Id="rId206" Type="http://schemas.openxmlformats.org/officeDocument/2006/relationships/hyperlink" Target="http://10.62.231.12:3000/index.php?option=com_jdownloads&amp;Itemid=53&amp;view=finish&amp;cid=11253&amp;catid=224" TargetMode="External"/><Relationship Id="rId248" Type="http://schemas.openxmlformats.org/officeDocument/2006/relationships/hyperlink" Target="http://10.62.231.12:3000/index.php?option=com_jdownloads&amp;Itemid=53&amp;view=finish&amp;cid=12634&amp;catid=229" TargetMode="External"/><Relationship Id="rId12" Type="http://schemas.openxmlformats.org/officeDocument/2006/relationships/hyperlink" Target="http://10.62.231.12:3000/index.php?option=com_jdownloads&amp;Itemid=53&amp;view=finish&amp;cid=12436&amp;catid=206" TargetMode="External"/><Relationship Id="rId108" Type="http://schemas.openxmlformats.org/officeDocument/2006/relationships/hyperlink" Target="http://10.62.231.12:3000/index.php?option=com_jdownloads&amp;Itemid=53&amp;view=finish&amp;cid=12523&amp;catid=218" TargetMode="External"/><Relationship Id="rId315" Type="http://schemas.openxmlformats.org/officeDocument/2006/relationships/hyperlink" Target="mailto:andik.e@jai.co.id" TargetMode="External"/><Relationship Id="rId54" Type="http://schemas.openxmlformats.org/officeDocument/2006/relationships/hyperlink" Target="http://10.62.231.12:3000/index.php?option=com_jdownloads&amp;Itemid=53&amp;view=finish&amp;cid=11328&amp;catid=210" TargetMode="External"/><Relationship Id="rId96" Type="http://schemas.openxmlformats.org/officeDocument/2006/relationships/hyperlink" Target="http://10.62.231.12:3000/index.php?option=com_jdownloads&amp;Itemid=53&amp;view=finish&amp;cid=14680&amp;catid=217" TargetMode="External"/><Relationship Id="rId161" Type="http://schemas.openxmlformats.org/officeDocument/2006/relationships/hyperlink" Target="http://10.62.231.12:3000/index.php?option=com_jdownloads&amp;Itemid=53&amp;view=finish&amp;cid=11221&amp;catid=221" TargetMode="External"/><Relationship Id="rId217" Type="http://schemas.openxmlformats.org/officeDocument/2006/relationships/hyperlink" Target="http://10.62.231.12:3000/index.php?option=com_jdownloads&amp;Itemid=53&amp;view=finish&amp;cid=11160&amp;catid=227" TargetMode="External"/><Relationship Id="rId259" Type="http://schemas.openxmlformats.org/officeDocument/2006/relationships/hyperlink" Target="mailto:evaningsih@jai.co.id" TargetMode="External"/><Relationship Id="rId23" Type="http://schemas.openxmlformats.org/officeDocument/2006/relationships/hyperlink" Target="http://10.62.231.12:3000/index.php?option=com_jdownloads&amp;Itemid=53&amp;view=finish&amp;cid=11292&amp;catid=208" TargetMode="External"/><Relationship Id="rId119" Type="http://schemas.openxmlformats.org/officeDocument/2006/relationships/hyperlink" Target="http://10.62.231.12:3000/index.php?option=com_jdownloads&amp;Itemid=53&amp;view=finish&amp;cid=14906&amp;catid=219" TargetMode="External"/><Relationship Id="rId270" Type="http://schemas.openxmlformats.org/officeDocument/2006/relationships/hyperlink" Target="mailto:endang.s@jai.co.id" TargetMode="External"/><Relationship Id="rId326" Type="http://schemas.openxmlformats.org/officeDocument/2006/relationships/hyperlink" Target="mailto:yachrul.h@jai.co.id," TargetMode="External"/><Relationship Id="rId65" Type="http://schemas.openxmlformats.org/officeDocument/2006/relationships/hyperlink" Target="http://10.62.231.12:3000/index.php?option=com_jdownloads&amp;Itemid=53&amp;view=finish&amp;cid=11172&amp;catid=215" TargetMode="External"/><Relationship Id="rId130" Type="http://schemas.openxmlformats.org/officeDocument/2006/relationships/hyperlink" Target="http://10.62.231.12:3000/index.php?option=com_jdownloads&amp;Itemid=53&amp;view=finish&amp;cid=12577&amp;catid=219" TargetMode="External"/><Relationship Id="rId172" Type="http://schemas.openxmlformats.org/officeDocument/2006/relationships/hyperlink" Target="http://10.62.231.12:3000/index.php?option=com_jdownloads&amp;Itemid=53&amp;view=finish&amp;cid=12510&amp;catid=221" TargetMode="External"/><Relationship Id="rId228" Type="http://schemas.openxmlformats.org/officeDocument/2006/relationships/hyperlink" Target="http://10.62.231.12:3000/index.php?option=com_jdownloads&amp;Itemid=53&amp;view=finish&amp;cid=11084&amp;catid=228" TargetMode="External"/><Relationship Id="rId281" Type="http://schemas.openxmlformats.org/officeDocument/2006/relationships/hyperlink" Target="mailto:endang.s@jai.co.id" TargetMode="External"/><Relationship Id="rId337" Type="http://schemas.openxmlformats.org/officeDocument/2006/relationships/hyperlink" Target="mailto:andik.e@jai.co.id" TargetMode="External"/><Relationship Id="rId34" Type="http://schemas.openxmlformats.org/officeDocument/2006/relationships/hyperlink" Target="http://intrajai:3000/index.php?option=com_jdownloads&amp;Itemid=53&amp;view=finish&amp;cid=2398&amp;catid=214" TargetMode="External"/><Relationship Id="rId76" Type="http://schemas.openxmlformats.org/officeDocument/2006/relationships/hyperlink" Target="http://intrajai:3000/index.php?option=com_jdownloads&amp;Itemid=53&amp;view=finish&amp;cid=3539&amp;catid=208" TargetMode="External"/><Relationship Id="rId141" Type="http://schemas.openxmlformats.org/officeDocument/2006/relationships/hyperlink" Target="http://10.62.231.12:3000/index.php?option=com_jdownloads&amp;Itemid=53&amp;view=finish&amp;cid=11289&amp;catid=221" TargetMode="External"/><Relationship Id="rId7" Type="http://schemas.openxmlformats.org/officeDocument/2006/relationships/hyperlink" Target="http://10.62.231.12:3000/index.php?option=com_jdownloads&amp;Itemid=53&amp;view=finish&amp;cid=11128&amp;catid=205" TargetMode="External"/><Relationship Id="rId183" Type="http://schemas.openxmlformats.org/officeDocument/2006/relationships/hyperlink" Target="http://10.62.231.12:3000/index.php?option=com_jdownloads&amp;Itemid=53&amp;view=finish&amp;cid=14963&amp;catid=222" TargetMode="External"/><Relationship Id="rId239" Type="http://schemas.openxmlformats.org/officeDocument/2006/relationships/hyperlink" Target="http://10.62.231.12:3000/index.php?option=com_jdownloads&amp;Itemid=53&amp;view=finish&amp;cid=12573&amp;catid=228" TargetMode="External"/><Relationship Id="rId250" Type="http://schemas.openxmlformats.org/officeDocument/2006/relationships/hyperlink" Target="http://10.62.231.12:3000/index.php?option=com_jdownloads&amp;Itemid=53&amp;view=finish&amp;cid=12619&amp;catid=230" TargetMode="External"/><Relationship Id="rId292" Type="http://schemas.openxmlformats.org/officeDocument/2006/relationships/hyperlink" Target="mailto:ferry.i@jai.co.id," TargetMode="External"/><Relationship Id="rId306" Type="http://schemas.openxmlformats.org/officeDocument/2006/relationships/hyperlink" Target="mailto:andik.e@jai.co.id" TargetMode="External"/><Relationship Id="rId45" Type="http://schemas.openxmlformats.org/officeDocument/2006/relationships/hyperlink" Target="http://10.62.231.12:3000/index.php?option=com_jdownloads&amp;Itemid=53&amp;view=finish&amp;cid=11266&amp;catid=210" TargetMode="External"/><Relationship Id="rId87" Type="http://schemas.openxmlformats.org/officeDocument/2006/relationships/hyperlink" Target="http://10.62.231.12:3000/index.php?option=com_jdownloads&amp;Itemid=53&amp;view=finish&amp;cid=11134&amp;catid=216" TargetMode="External"/><Relationship Id="rId110" Type="http://schemas.openxmlformats.org/officeDocument/2006/relationships/hyperlink" Target="http://10.62.231.12:3000/index.php?option=com_jdownloads&amp;Itemid=53&amp;view=finish&amp;cid=11284&amp;catid=218" TargetMode="External"/><Relationship Id="rId348" Type="http://schemas.openxmlformats.org/officeDocument/2006/relationships/hyperlink" Target="mailto:endang.s@jai.co.id" TargetMode="External"/><Relationship Id="rId152" Type="http://schemas.openxmlformats.org/officeDocument/2006/relationships/hyperlink" Target="http://10.62.231.12:3000/index.php?option=com_jdownloads&amp;Itemid=53&amp;view=finish&amp;cid=12576&amp;catid=221" TargetMode="External"/><Relationship Id="rId194" Type="http://schemas.openxmlformats.org/officeDocument/2006/relationships/hyperlink" Target="http://10.62.231.12:3000/index.php?option=com_jdownloads&amp;Itemid=53&amp;view=finish&amp;cid=11224&amp;catid=223" TargetMode="External"/><Relationship Id="rId208" Type="http://schemas.openxmlformats.org/officeDocument/2006/relationships/hyperlink" Target="http://10.62.231.12:3000/index.php?option=com_jdownloads&amp;Itemid=53&amp;view=finish&amp;cid=14564&amp;catid=227" TargetMode="External"/><Relationship Id="rId261" Type="http://schemas.openxmlformats.org/officeDocument/2006/relationships/hyperlink" Target="mailto:dedi.k@jai.co.id" TargetMode="External"/><Relationship Id="rId14" Type="http://schemas.openxmlformats.org/officeDocument/2006/relationships/hyperlink" Target="http://10.62.231.12:3000/index.php?option=com_jdownloads&amp;Itemid=53&amp;view=finish&amp;cid=11139&amp;catid=206" TargetMode="External"/><Relationship Id="rId56" Type="http://schemas.openxmlformats.org/officeDocument/2006/relationships/hyperlink" Target="http://10.62.231.12:3000/index.php?option=com_jdownloads&amp;Itemid=53&amp;view=finish&amp;cid=11436&amp;catid=210" TargetMode="External"/><Relationship Id="rId317" Type="http://schemas.openxmlformats.org/officeDocument/2006/relationships/hyperlink" Target="mailto:andik.e@jai.co.id" TargetMode="External"/><Relationship Id="rId98" Type="http://schemas.openxmlformats.org/officeDocument/2006/relationships/hyperlink" Target="http://10.62.231.12:3000/index.php?option=com_jdownloads&amp;Itemid=53&amp;view=finish&amp;cid=11239&amp;catid=217" TargetMode="External"/><Relationship Id="rId121" Type="http://schemas.openxmlformats.org/officeDocument/2006/relationships/hyperlink" Target="http://10.62.231.12:3000/index.php?option=com_jdownloads&amp;Itemid=53&amp;view=finish&amp;cid=12403&amp;catid=219" TargetMode="External"/><Relationship Id="rId163" Type="http://schemas.openxmlformats.org/officeDocument/2006/relationships/hyperlink" Target="http://10.62.231.12:3000/index.php?option=com_jdownloads&amp;Itemid=53&amp;view=finish&amp;cid=8796&amp;catid=221" TargetMode="External"/><Relationship Id="rId219" Type="http://schemas.openxmlformats.org/officeDocument/2006/relationships/hyperlink" Target="http://10.62.231.12:3000/index.php?option=com_jdownloads&amp;Itemid=53&amp;view=finish&amp;cid=11294&amp;catid=227" TargetMode="External"/><Relationship Id="rId230" Type="http://schemas.openxmlformats.org/officeDocument/2006/relationships/hyperlink" Target="http://10.62.231.12:3000/index.php?option=com_jdownloads&amp;Itemid=53&amp;view=finish&amp;cid=12365&amp;catid=228" TargetMode="External"/><Relationship Id="rId251" Type="http://schemas.openxmlformats.org/officeDocument/2006/relationships/hyperlink" Target="http://10.62.231.12:3000/index.php?option=com_jdownloads&amp;Itemid=53&amp;view=finish&amp;cid=14905&amp;catid=230" TargetMode="External"/><Relationship Id="rId25" Type="http://schemas.openxmlformats.org/officeDocument/2006/relationships/hyperlink" Target="http://10.62.231.12:3000/index.php?option=com_jdownloads&amp;Itemid=53&amp;view=finish&amp;cid=6824&amp;catid=210" TargetMode="External"/><Relationship Id="rId46" Type="http://schemas.openxmlformats.org/officeDocument/2006/relationships/hyperlink" Target="http://10.62.231.12:3000/index.php?option=com_jdownloads&amp;Itemid=53&amp;view=finish&amp;cid=11267&amp;catid=210" TargetMode="External"/><Relationship Id="rId67" Type="http://schemas.openxmlformats.org/officeDocument/2006/relationships/hyperlink" Target="http://10.62.231.12:3000/index.php?option=com_jdownloads&amp;Itemid=53&amp;view=finish&amp;cid=11186&amp;catid=215" TargetMode="External"/><Relationship Id="rId272" Type="http://schemas.openxmlformats.org/officeDocument/2006/relationships/hyperlink" Target="mailto:endang.s@jai.co.id" TargetMode="External"/><Relationship Id="rId293" Type="http://schemas.openxmlformats.org/officeDocument/2006/relationships/hyperlink" Target="mailto:ferry.i@jai.co.id," TargetMode="External"/><Relationship Id="rId307" Type="http://schemas.openxmlformats.org/officeDocument/2006/relationships/hyperlink" Target="mailto:andik.e@jai.co.id" TargetMode="External"/><Relationship Id="rId328" Type="http://schemas.openxmlformats.org/officeDocument/2006/relationships/hyperlink" Target="mailto:andik.e@jai.co.id" TargetMode="External"/><Relationship Id="rId349" Type="http://schemas.openxmlformats.org/officeDocument/2006/relationships/hyperlink" Target="mailto:binti.s@jai.co.id" TargetMode="External"/><Relationship Id="rId88" Type="http://schemas.openxmlformats.org/officeDocument/2006/relationships/hyperlink" Target="http://10.62.231.12:3000/index.php?option=com_jdownloads&amp;Itemid=53&amp;view=finish&amp;cid=11162&amp;catid=217" TargetMode="External"/><Relationship Id="rId111" Type="http://schemas.openxmlformats.org/officeDocument/2006/relationships/hyperlink" Target="http://10.62.231.12:3000/index.php?option=com_jdownloads&amp;Itemid=53&amp;view=finish&amp;cid=12435&amp;catid=218" TargetMode="External"/><Relationship Id="rId132" Type="http://schemas.openxmlformats.org/officeDocument/2006/relationships/hyperlink" Target="http://10.62.231.12:3000/index.php?option=com_jdownloads&amp;Itemid=53&amp;view=finish&amp;cid=12408&amp;catid=219" TargetMode="External"/><Relationship Id="rId153" Type="http://schemas.openxmlformats.org/officeDocument/2006/relationships/hyperlink" Target="http://10.62.231.12:3000/index.php?option=com_jdownloads&amp;Itemid=53&amp;view=finish&amp;cid=12507&amp;catid=221" TargetMode="External"/><Relationship Id="rId174" Type="http://schemas.openxmlformats.org/officeDocument/2006/relationships/hyperlink" Target="http://intrajai:3000/index.php?option=com_jdownloads&amp;Itemid=53&amp;view=finish&amp;cid=5887&amp;catid=222" TargetMode="External"/><Relationship Id="rId195" Type="http://schemas.openxmlformats.org/officeDocument/2006/relationships/hyperlink" Target="http://10.62.231.12:3000/index.php?option=com_jdownloads&amp;Itemid=53&amp;view=finish&amp;cid=11225&amp;catid=224" TargetMode="External"/><Relationship Id="rId209" Type="http://schemas.openxmlformats.org/officeDocument/2006/relationships/hyperlink" Target="http://10.62.231.12:3000/index.php?option=com_jdownloads&amp;Itemid=53&amp;view=finish&amp;cid=14903&amp;catid=227" TargetMode="External"/><Relationship Id="rId220" Type="http://schemas.openxmlformats.org/officeDocument/2006/relationships/hyperlink" Target="http://10.62.231.12:3000/index.php?option=com_jdownloads&amp;Itemid=53&amp;view=finish&amp;cid=12883&amp;catid=228" TargetMode="External"/><Relationship Id="rId241" Type="http://schemas.openxmlformats.org/officeDocument/2006/relationships/hyperlink" Target="http://10.62.231.12:3000/index.php?option=com_jdownloads&amp;Itemid=53&amp;view=finish&amp;cid=14847&amp;catid=229" TargetMode="External"/><Relationship Id="rId15" Type="http://schemas.openxmlformats.org/officeDocument/2006/relationships/hyperlink" Target="http://10.62.231.12:3000/index.php?option=com_jdownloads&amp;Itemid=53&amp;view=finish&amp;cid=11286&amp;catid=206" TargetMode="External"/><Relationship Id="rId36" Type="http://schemas.openxmlformats.org/officeDocument/2006/relationships/hyperlink" Target="http://10.62.231.12:3000/index.php?option=com_jdownloads&amp;Itemid=53&amp;view=finish&amp;cid=9401&amp;catid=214" TargetMode="External"/><Relationship Id="rId57" Type="http://schemas.openxmlformats.org/officeDocument/2006/relationships/hyperlink" Target="http://10.62.231.12:3000/index.php?option=com_jdownloads&amp;Itemid=53&amp;view=finish&amp;cid=12406&amp;catid=210" TargetMode="External"/><Relationship Id="rId262" Type="http://schemas.openxmlformats.org/officeDocument/2006/relationships/hyperlink" Target="mailto:dedi.k@jai.co.id" TargetMode="External"/><Relationship Id="rId283" Type="http://schemas.openxmlformats.org/officeDocument/2006/relationships/hyperlink" Target="mailto:endang.s@jai.co.id" TargetMode="External"/><Relationship Id="rId318" Type="http://schemas.openxmlformats.org/officeDocument/2006/relationships/hyperlink" Target="mailto:andik.e@jai.co.id" TargetMode="External"/><Relationship Id="rId339" Type="http://schemas.openxmlformats.org/officeDocument/2006/relationships/hyperlink" Target="mailto:andik.e@jai.co.id" TargetMode="External"/><Relationship Id="rId78" Type="http://schemas.openxmlformats.org/officeDocument/2006/relationships/hyperlink" Target="http://10.62.231.12:3000/index.php?option=com_jdownloads&amp;Itemid=53&amp;view=finish&amp;cid=11051&amp;catid=215" TargetMode="External"/><Relationship Id="rId99" Type="http://schemas.openxmlformats.org/officeDocument/2006/relationships/hyperlink" Target="http://10.62.231.12:3000/index.php?option=com_jdownloads&amp;Itemid=53&amp;view=finish&amp;cid=14841&amp;catid=218" TargetMode="External"/><Relationship Id="rId101" Type="http://schemas.openxmlformats.org/officeDocument/2006/relationships/hyperlink" Target="http://10.62.231.12:3000/index.php?option=com_jdownloads&amp;Itemid=53&amp;view=finish&amp;cid=11163&amp;catid=218" TargetMode="External"/><Relationship Id="rId122" Type="http://schemas.openxmlformats.org/officeDocument/2006/relationships/hyperlink" Target="http://10.62.231.12:3000/index.php?option=com_jdownloads&amp;Itemid=53&amp;view=finish&amp;cid=12404&amp;catid=219" TargetMode="External"/><Relationship Id="rId143" Type="http://schemas.openxmlformats.org/officeDocument/2006/relationships/hyperlink" Target="http://10.62.231.12:3000/index.php?option=com_jdownloads&amp;Itemid=53&amp;view=finish&amp;cid=11481&amp;catid=221" TargetMode="External"/><Relationship Id="rId164" Type="http://schemas.openxmlformats.org/officeDocument/2006/relationships/hyperlink" Target="http://10.62.231.12:3000/index.php?option=com_jdownloads&amp;Itemid=53&amp;view=finish&amp;cid=11249&amp;catid=221" TargetMode="External"/><Relationship Id="rId185" Type="http://schemas.openxmlformats.org/officeDocument/2006/relationships/hyperlink" Target="http://10.62.231.12:3000/index.php?option=com_jdownloads&amp;Itemid=53&amp;view=finish&amp;cid=12442&amp;catid=222" TargetMode="External"/><Relationship Id="rId350" Type="http://schemas.openxmlformats.org/officeDocument/2006/relationships/hyperlink" Target="mailto:andik.e@jai.co.id" TargetMode="External"/><Relationship Id="rId9" Type="http://schemas.openxmlformats.org/officeDocument/2006/relationships/hyperlink" Target="http://10.62.231.12:3000/index.php?option=com_jdownloads&amp;Itemid=53&amp;view=finish&amp;cid=11136&amp;catid=206" TargetMode="External"/><Relationship Id="rId210" Type="http://schemas.openxmlformats.org/officeDocument/2006/relationships/hyperlink" Target="http://10.62.231.12:3000/index.php?option=com_jdownloads&amp;Itemid=53&amp;view=finish&amp;cid=12964&amp;catid=227" TargetMode="External"/><Relationship Id="rId26" Type="http://schemas.openxmlformats.org/officeDocument/2006/relationships/hyperlink" Target="http://10.62.231.12:3000/index.php?option=com_jdownloads&amp;Itemid=53&amp;view=finish&amp;cid=11256&amp;catid=210" TargetMode="External"/><Relationship Id="rId231" Type="http://schemas.openxmlformats.org/officeDocument/2006/relationships/hyperlink" Target="http://10.62.231.12:3000/index.php?option=com_jdownloads&amp;Itemid=53&amp;view=finish&amp;cid=12411&amp;catid=228" TargetMode="External"/><Relationship Id="rId252" Type="http://schemas.openxmlformats.org/officeDocument/2006/relationships/hyperlink" Target="http://10.62.231.12:3000/index.php?option=com_jdownloads&amp;Itemid=53&amp;view=finish&amp;cid=14909&amp;catid=230" TargetMode="External"/><Relationship Id="rId273" Type="http://schemas.openxmlformats.org/officeDocument/2006/relationships/hyperlink" Target="mailto:endang.s@jai.co.id" TargetMode="External"/><Relationship Id="rId294" Type="http://schemas.openxmlformats.org/officeDocument/2006/relationships/hyperlink" Target="mailto:ferry.i@jai.co.id," TargetMode="External"/><Relationship Id="rId308" Type="http://schemas.openxmlformats.org/officeDocument/2006/relationships/hyperlink" Target="mailto:andik.e@jai.co.id" TargetMode="External"/><Relationship Id="rId329" Type="http://schemas.openxmlformats.org/officeDocument/2006/relationships/hyperlink" Target="mailto:andik.e@jai.co.id" TargetMode="External"/><Relationship Id="rId47" Type="http://schemas.openxmlformats.org/officeDocument/2006/relationships/hyperlink" Target="http://10.62.231.12:3000/index.php?option=com_jdownloads&amp;Itemid=53&amp;view=finish&amp;cid=11268&amp;catid=210" TargetMode="External"/><Relationship Id="rId68" Type="http://schemas.openxmlformats.org/officeDocument/2006/relationships/hyperlink" Target="http://10.62.231.12:3000/index.php?option=com_jdownloads&amp;Itemid=53&amp;view=finish&amp;cid=11295&amp;catid=214" TargetMode="External"/><Relationship Id="rId89" Type="http://schemas.openxmlformats.org/officeDocument/2006/relationships/hyperlink" Target="http://10.62.231.12:3000/index.php?option=com_jdownloads&amp;Itemid=53&amp;view=finish&amp;cid=11234&amp;catid=217" TargetMode="External"/><Relationship Id="rId112" Type="http://schemas.openxmlformats.org/officeDocument/2006/relationships/hyperlink" Target="http://10.62.231.12:3000/index.php?option=com_jdownloads&amp;Itemid=53&amp;view=finish&amp;cid=14812&amp;catid=218" TargetMode="External"/><Relationship Id="rId133" Type="http://schemas.openxmlformats.org/officeDocument/2006/relationships/hyperlink" Target="http://intrajai:3000/index.php?option=com_jdownloads&amp;Itemid=53&amp;view=finish&amp;cid=3901&amp;catid=221" TargetMode="External"/><Relationship Id="rId154" Type="http://schemas.openxmlformats.org/officeDocument/2006/relationships/hyperlink" Target="http://10.62.231.12:3000/index.php?option=com_jdownloads&amp;Itemid=53&amp;view=finish&amp;cid=14811&amp;catid=219" TargetMode="External"/><Relationship Id="rId175" Type="http://schemas.openxmlformats.org/officeDocument/2006/relationships/hyperlink" Target="http://10.62.231.12:3000/index.php?option=com_jdownloads&amp;Itemid=53&amp;view=finish&amp;cid=11141&amp;catid=222" TargetMode="External"/><Relationship Id="rId340" Type="http://schemas.openxmlformats.org/officeDocument/2006/relationships/hyperlink" Target="mailto:endang.s@jai.co.id" TargetMode="External"/><Relationship Id="rId196" Type="http://schemas.openxmlformats.org/officeDocument/2006/relationships/hyperlink" Target="http://10.62.231.12:3000/index.php?option=com_jdownloads&amp;Itemid=53&amp;view=finish&amp;cid=11226&amp;catid=224" TargetMode="External"/><Relationship Id="rId200" Type="http://schemas.openxmlformats.org/officeDocument/2006/relationships/hyperlink" Target="http://10.62.231.12:3000/index.php?option=com_jdownloads&amp;Itemid=53&amp;view=finish&amp;cid=12885&amp;catid=223" TargetMode="External"/><Relationship Id="rId16" Type="http://schemas.openxmlformats.org/officeDocument/2006/relationships/hyperlink" Target="http://10.62.231.12:3000/index.php?option=com_jdownloads&amp;Itemid=53&amp;view=finish&amp;cid=11296&amp;catid=206" TargetMode="External"/><Relationship Id="rId221" Type="http://schemas.openxmlformats.org/officeDocument/2006/relationships/hyperlink" Target="http://10.62.231.12:3000/index.php?option=com_jdownloads&amp;Itemid=53&amp;view=finish&amp;cid=12961&amp;catid=227" TargetMode="External"/><Relationship Id="rId242" Type="http://schemas.openxmlformats.org/officeDocument/2006/relationships/hyperlink" Target="http://10.62.231.12:3000/index.php?option=com_jdownloads&amp;Itemid=53&amp;view=finish&amp;cid=14970&amp;catid=229" TargetMode="External"/><Relationship Id="rId263" Type="http://schemas.openxmlformats.org/officeDocument/2006/relationships/hyperlink" Target="mailto:dedi.k@jai.co.id" TargetMode="External"/><Relationship Id="rId284" Type="http://schemas.openxmlformats.org/officeDocument/2006/relationships/hyperlink" Target="mailto:binti.s@jai.co.id" TargetMode="External"/><Relationship Id="rId319" Type="http://schemas.openxmlformats.org/officeDocument/2006/relationships/hyperlink" Target="mailto:andik.e@jai.co.id" TargetMode="External"/><Relationship Id="rId37" Type="http://schemas.openxmlformats.org/officeDocument/2006/relationships/hyperlink" Target="http://10.62.231.12:3000/index.php?option=com_jdownloads&amp;Itemid=53&amp;view=finish&amp;cid=10531&amp;catid=214" TargetMode="External"/><Relationship Id="rId58" Type="http://schemas.openxmlformats.org/officeDocument/2006/relationships/hyperlink" Target="http://10.62.231.12:3000/index.php?option=com_jdownloads&amp;Itemid=53&amp;view=finish&amp;cid=12962&amp;catid=210" TargetMode="External"/><Relationship Id="rId79" Type="http://schemas.openxmlformats.org/officeDocument/2006/relationships/hyperlink" Target="http://10.62.231.12:3000/index.php?option=com_jdownloads&amp;Itemid=53&amp;view=finish&amp;cid=11177&amp;catid=215" TargetMode="External"/><Relationship Id="rId102" Type="http://schemas.openxmlformats.org/officeDocument/2006/relationships/hyperlink" Target="http://10.62.231.12:3000/index.php?option=com_jdownloads&amp;Itemid=53&amp;view=finish&amp;cid=10809&amp;catid=218" TargetMode="External"/><Relationship Id="rId123" Type="http://schemas.openxmlformats.org/officeDocument/2006/relationships/hyperlink" Target="http://10.62.231.12:3000/index.php?option=com_jdownloads&amp;Itemid=53&amp;view=finish&amp;cid=11165&amp;catid=219" TargetMode="External"/><Relationship Id="rId144" Type="http://schemas.openxmlformats.org/officeDocument/2006/relationships/hyperlink" Target="http://10.62.231.12:3000/index.php?option=com_jdownloads&amp;Itemid=53&amp;view=finish&amp;cid=12357&amp;catid=219" TargetMode="External"/><Relationship Id="rId330" Type="http://schemas.openxmlformats.org/officeDocument/2006/relationships/hyperlink" Target="mailto:andik.e@jai.co.id" TargetMode="External"/><Relationship Id="rId90" Type="http://schemas.openxmlformats.org/officeDocument/2006/relationships/hyperlink" Target="http://10.62.231.12:3000/index.php?option=com_jdownloads&amp;Itemid=53&amp;view=finish&amp;cid=11235&amp;catid=217" TargetMode="External"/><Relationship Id="rId165" Type="http://schemas.openxmlformats.org/officeDocument/2006/relationships/hyperlink" Target="http://10.62.231.12:3000/index.php?option=com_jdownloads&amp;Itemid=53&amp;view=finish&amp;cid=11250&amp;catid=221" TargetMode="External"/><Relationship Id="rId186" Type="http://schemas.openxmlformats.org/officeDocument/2006/relationships/hyperlink" Target="http://10.62.231.12:3000/index.php?option=com_jdownloads&amp;Itemid=53&amp;view=finish&amp;cid=11142&amp;catid=223" TargetMode="External"/><Relationship Id="rId351" Type="http://schemas.openxmlformats.org/officeDocument/2006/relationships/hyperlink" Target="mailto:andik.e@jai.co.id" TargetMode="External"/><Relationship Id="rId211" Type="http://schemas.openxmlformats.org/officeDocument/2006/relationships/hyperlink" Target="http://10.62.231.12:3000/index.php?option=com_jdownloads&amp;Itemid=53&amp;view=finish&amp;cid=12160&amp;catid=227" TargetMode="External"/><Relationship Id="rId232" Type="http://schemas.openxmlformats.org/officeDocument/2006/relationships/hyperlink" Target="http://10.62.231.12:3000/index.php?option=com_jdownloads&amp;Itemid=53&amp;view=finish&amp;cid=11028&amp;catid=228" TargetMode="External"/><Relationship Id="rId253" Type="http://schemas.openxmlformats.org/officeDocument/2006/relationships/hyperlink" Target="mailto:david.a@jai.co.id" TargetMode="External"/><Relationship Id="rId274" Type="http://schemas.openxmlformats.org/officeDocument/2006/relationships/hyperlink" Target="mailto:endang.s@jai.co.id" TargetMode="External"/><Relationship Id="rId295" Type="http://schemas.openxmlformats.org/officeDocument/2006/relationships/hyperlink" Target="mailto:ferry.i@jai.co.id," TargetMode="External"/><Relationship Id="rId309" Type="http://schemas.openxmlformats.org/officeDocument/2006/relationships/hyperlink" Target="mailto:andik.e@jai.co.id" TargetMode="External"/><Relationship Id="rId27" Type="http://schemas.openxmlformats.org/officeDocument/2006/relationships/hyperlink" Target="http://10.62.231.12:3000/index.php?option=com_jdownloads&amp;Itemid=53&amp;view=finish&amp;cid=11274&amp;catid=210" TargetMode="External"/><Relationship Id="rId48" Type="http://schemas.openxmlformats.org/officeDocument/2006/relationships/hyperlink" Target="http://10.62.231.12:3000/index.php?option=com_jdownloads&amp;Itemid=53&amp;view=finish&amp;cid=11269&amp;catid=210" TargetMode="External"/><Relationship Id="rId69" Type="http://schemas.openxmlformats.org/officeDocument/2006/relationships/hyperlink" Target="http://10.62.231.12:3000/index.php?option=com_jdownloads&amp;Itemid=53&amp;view=finish&amp;cid=14567&amp;catid=214" TargetMode="External"/><Relationship Id="rId113" Type="http://schemas.openxmlformats.org/officeDocument/2006/relationships/hyperlink" Target="http://10.62.231.12:3000/index.php?option=com_jdownloads&amp;Itemid=53&amp;view=finish&amp;cid=14822&amp;catid=218" TargetMode="External"/><Relationship Id="rId134" Type="http://schemas.openxmlformats.org/officeDocument/2006/relationships/hyperlink" Target="http://10.62.231.12:3000/index.php?option=com_jdownloads&amp;Itemid=53&amp;view=finish&amp;cid=11149&amp;catid=221" TargetMode="External"/><Relationship Id="rId320" Type="http://schemas.openxmlformats.org/officeDocument/2006/relationships/hyperlink" Target="mailto:andik.e@jai.co.id" TargetMode="External"/><Relationship Id="rId80" Type="http://schemas.openxmlformats.org/officeDocument/2006/relationships/hyperlink" Target="http://10.62.231.12:3000/index.php?option=com_jdownloads&amp;Itemid=53&amp;view=finish&amp;cid=11479&amp;catid=215" TargetMode="External"/><Relationship Id="rId155" Type="http://schemas.openxmlformats.org/officeDocument/2006/relationships/hyperlink" Target="http://10.62.231.12:3000/index.php?option=com_jdownloads&amp;Itemid=53&amp;view=finish&amp;cid=14834&amp;catid=219" TargetMode="External"/><Relationship Id="rId176" Type="http://schemas.openxmlformats.org/officeDocument/2006/relationships/hyperlink" Target="http://10.62.231.12:3000/index.php?option=com_jdownloads&amp;Itemid=53&amp;view=finish&amp;cid=12504&amp;catid=222" TargetMode="External"/><Relationship Id="rId197" Type="http://schemas.openxmlformats.org/officeDocument/2006/relationships/hyperlink" Target="http://10.62.231.12:3000/index.php?option=com_jdownloads&amp;Itemid=53&amp;view=finish&amp;cid=11291&amp;catid=223" TargetMode="External"/><Relationship Id="rId341" Type="http://schemas.openxmlformats.org/officeDocument/2006/relationships/hyperlink" Target="mailto:endang.s@jai.co.id" TargetMode="External"/><Relationship Id="rId201" Type="http://schemas.openxmlformats.org/officeDocument/2006/relationships/hyperlink" Target="http://10.62.231.12:3000/index.php?option=com_jdownloads&amp;Itemid=53&amp;view=finish&amp;cid=14745&amp;catid=224" TargetMode="External"/><Relationship Id="rId222" Type="http://schemas.openxmlformats.org/officeDocument/2006/relationships/hyperlink" Target="http://10.62.231.12:3000/index.php?option=com_jdownloads&amp;Itemid=53&amp;view=finish&amp;cid=12967&amp;catid=227" TargetMode="External"/><Relationship Id="rId243" Type="http://schemas.openxmlformats.org/officeDocument/2006/relationships/hyperlink" Target="http://10.62.231.12:3000/index.php?option=com_jdownloads&amp;Itemid=53&amp;view=finish&amp;cid=11183&amp;catid=230" TargetMode="External"/><Relationship Id="rId264" Type="http://schemas.openxmlformats.org/officeDocument/2006/relationships/hyperlink" Target="mailto:dedi.k@jai.co.id" TargetMode="External"/><Relationship Id="rId285" Type="http://schemas.openxmlformats.org/officeDocument/2006/relationships/hyperlink" Target="mailto:binti.s@jai.co.id" TargetMode="External"/><Relationship Id="rId17" Type="http://schemas.openxmlformats.org/officeDocument/2006/relationships/hyperlink" Target="http://10.62.231.12:3000/index.php?option=com_jdownloads&amp;Itemid=53&amp;view=finish&amp;cid=12443&amp;catid=206" TargetMode="External"/><Relationship Id="rId38" Type="http://schemas.openxmlformats.org/officeDocument/2006/relationships/hyperlink" Target="http://10.62.231.12:3000/index.php?option=com_jdownloads&amp;Itemid=53&amp;view=finish&amp;cid=10532&amp;catid=214" TargetMode="External"/><Relationship Id="rId59" Type="http://schemas.openxmlformats.org/officeDocument/2006/relationships/hyperlink" Target="http://intrajai:3000/index.php?option=com_jdownloads&amp;Itemid=53&amp;view=finish&amp;cid=12609&amp;catid=210" TargetMode="External"/><Relationship Id="rId103" Type="http://schemas.openxmlformats.org/officeDocument/2006/relationships/hyperlink" Target="http://10.62.231.12:3000/index.php?option=com_jdownloads&amp;Itemid=53&amp;view=finish&amp;cid=11164&amp;catid=218" TargetMode="External"/><Relationship Id="rId124" Type="http://schemas.openxmlformats.org/officeDocument/2006/relationships/hyperlink" Target="http://10.62.231.12:3000/index.php?option=com_jdownloads&amp;Itemid=53&amp;view=finish&amp;cid=14833&amp;catid=219" TargetMode="External"/><Relationship Id="rId310" Type="http://schemas.openxmlformats.org/officeDocument/2006/relationships/hyperlink" Target="mailto:andik.e@jai.co.id" TargetMode="External"/><Relationship Id="rId70" Type="http://schemas.openxmlformats.org/officeDocument/2006/relationships/hyperlink" Target="http://10.62.231.12:3000/index.php?option=com_jdownloads&amp;Itemid=53&amp;view=finish&amp;cid=14602&amp;catid=214" TargetMode="External"/><Relationship Id="rId91" Type="http://schemas.openxmlformats.org/officeDocument/2006/relationships/hyperlink" Target="http://10.62.231.12:3000/index.php?option=com_jdownloads&amp;Itemid=53&amp;view=finish&amp;cid=11237&amp;catid=217" TargetMode="External"/><Relationship Id="rId145" Type="http://schemas.openxmlformats.org/officeDocument/2006/relationships/hyperlink" Target="http://10.62.231.12:3000/index.php?option=com_jdownloads&amp;Itemid=53&amp;view=finish&amp;cid=12363&amp;catid=221" TargetMode="External"/><Relationship Id="rId166" Type="http://schemas.openxmlformats.org/officeDocument/2006/relationships/hyperlink" Target="http://10.62.231.12:3000/index.php?option=com_jdownloads&amp;Itemid=53&amp;view=finish&amp;cid=12157&amp;catid=221" TargetMode="External"/><Relationship Id="rId187" Type="http://schemas.openxmlformats.org/officeDocument/2006/relationships/hyperlink" Target="http://10.62.231.12:3000/index.php?option=com_jdownloads&amp;Itemid=53&amp;view=finish&amp;cid=11143&amp;catid=223" TargetMode="External"/><Relationship Id="rId331" Type="http://schemas.openxmlformats.org/officeDocument/2006/relationships/hyperlink" Target="mailto:andik.e@jai.co.id" TargetMode="External"/><Relationship Id="rId352" Type="http://schemas.openxmlformats.org/officeDocument/2006/relationships/printerSettings" Target="../printerSettings/printerSettings1.bin"/><Relationship Id="rId1" Type="http://schemas.openxmlformats.org/officeDocument/2006/relationships/hyperlink" Target="http://10.62.231.12:3000/index.php?option=com_jdownloads&amp;Itemid=53&amp;view=finish&amp;cid=11135&amp;catid=204" TargetMode="External"/><Relationship Id="rId212" Type="http://schemas.openxmlformats.org/officeDocument/2006/relationships/hyperlink" Target="http://10.62.231.12:3000/index.php?option=com_jdownloads&amp;Itemid=53&amp;view=finish&amp;cid=12970&amp;catid=227" TargetMode="External"/><Relationship Id="rId233" Type="http://schemas.openxmlformats.org/officeDocument/2006/relationships/hyperlink" Target="http://10.62.231.12:3000/index.php?option=com_jdownloads&amp;Itemid=53&amp;view=finish&amp;cid=11085&amp;catid=229" TargetMode="External"/><Relationship Id="rId254" Type="http://schemas.openxmlformats.org/officeDocument/2006/relationships/hyperlink" Target="mailto:david.a@jai.co.id" TargetMode="External"/><Relationship Id="rId28" Type="http://schemas.openxmlformats.org/officeDocument/2006/relationships/hyperlink" Target="http://10.62.231.12:3000/index.php?option=com_jdownloads&amp;Itemid=53&amp;view=finish&amp;cid=12651&amp;catid=210" TargetMode="External"/><Relationship Id="rId49" Type="http://schemas.openxmlformats.org/officeDocument/2006/relationships/hyperlink" Target="http://10.62.231.12:3000/index.php?option=com_jdownloads&amp;Itemid=53&amp;view=finish&amp;cid=11270&amp;catid=210" TargetMode="External"/><Relationship Id="rId114" Type="http://schemas.openxmlformats.org/officeDocument/2006/relationships/hyperlink" Target="http://10.62.231.12:3000/index.php?option=com_jdownloads&amp;Itemid=53&amp;view=finish&amp;cid=11305&amp;catid=218" TargetMode="External"/><Relationship Id="rId275" Type="http://schemas.openxmlformats.org/officeDocument/2006/relationships/hyperlink" Target="mailto:endang.s@jai.co.id" TargetMode="External"/><Relationship Id="rId296" Type="http://schemas.openxmlformats.org/officeDocument/2006/relationships/hyperlink" Target="mailto:ferry.i@jai.co.id," TargetMode="External"/><Relationship Id="rId300" Type="http://schemas.openxmlformats.org/officeDocument/2006/relationships/hyperlink" Target="mailto:andik.e@jai.co.id" TargetMode="External"/><Relationship Id="rId60" Type="http://schemas.openxmlformats.org/officeDocument/2006/relationships/hyperlink" Target="http://intrajai:3000/index.php?option=com_jdownloads&amp;Itemid=53&amp;view=finish&amp;cid=12595&amp;catid=210" TargetMode="External"/><Relationship Id="rId81" Type="http://schemas.openxmlformats.org/officeDocument/2006/relationships/hyperlink" Target="http://10.62.231.12:3000/index.php?option=com_jdownloads&amp;Itemid=53&amp;view=finish&amp;cid=12431&amp;catid=215" TargetMode="External"/><Relationship Id="rId135" Type="http://schemas.openxmlformats.org/officeDocument/2006/relationships/hyperlink" Target="http://10.62.231.12:3000/index.php?option=com_jdownloads&amp;Itemid=53&amp;view=finish&amp;cid=11241&amp;catid=221" TargetMode="External"/><Relationship Id="rId156" Type="http://schemas.openxmlformats.org/officeDocument/2006/relationships/hyperlink" Target="http://10.62.231.12:3000/index.php?option=com_jdownloads&amp;Itemid=53&amp;view=finish&amp;cid=14835&amp;catid=219" TargetMode="External"/><Relationship Id="rId177" Type="http://schemas.openxmlformats.org/officeDocument/2006/relationships/hyperlink" Target="http://10.62.231.12:3000/index.php?option=com_jdownloads&amp;Itemid=53&amp;view=finish&amp;cid=14922&amp;catid=222" TargetMode="External"/><Relationship Id="rId198" Type="http://schemas.openxmlformats.org/officeDocument/2006/relationships/hyperlink" Target="http://10.62.231.12:3000/index.php?option=com_jdownloads&amp;Itemid=53&amp;view=finish&amp;cid=12441&amp;catid=223" TargetMode="External"/><Relationship Id="rId321" Type="http://schemas.openxmlformats.org/officeDocument/2006/relationships/hyperlink" Target="mailto:andik.e@jai.co.id" TargetMode="External"/><Relationship Id="rId342" Type="http://schemas.openxmlformats.org/officeDocument/2006/relationships/hyperlink" Target="mailto:binti.s@jai.co.id" TargetMode="External"/><Relationship Id="rId202" Type="http://schemas.openxmlformats.org/officeDocument/2006/relationships/hyperlink" Target="http://10.62.231.12:3000/index.php?option=com_jdownloads&amp;Itemid=53&amp;view=finish&amp;cid=14869&amp;catid=223" TargetMode="External"/><Relationship Id="rId223" Type="http://schemas.openxmlformats.org/officeDocument/2006/relationships/hyperlink" Target="http://10.62.231.12:3000/index.php?option=com_jdownloads&amp;Itemid=53&amp;view=finish&amp;cid=14551&amp;catid=227" TargetMode="External"/><Relationship Id="rId244" Type="http://schemas.openxmlformats.org/officeDocument/2006/relationships/hyperlink" Target="http://10.62.231.12:3000/index.php?option=com_jdownloads&amp;Itemid=53&amp;view=finish&amp;cid=11229&amp;catid=229" TargetMode="External"/><Relationship Id="rId18" Type="http://schemas.openxmlformats.org/officeDocument/2006/relationships/hyperlink" Target="http://10.62.231.12:3000/index.php?option=com_jdownloads&amp;Itemid=53&amp;view=finish&amp;cid=11140&amp;catid=206" TargetMode="External"/><Relationship Id="rId39" Type="http://schemas.openxmlformats.org/officeDocument/2006/relationships/hyperlink" Target="http://10.62.231.12:3000/index.php?option=com_jdownloads&amp;Itemid=53&amp;view=finish&amp;cid=11170&amp;catid=210" TargetMode="External"/><Relationship Id="rId265" Type="http://schemas.openxmlformats.org/officeDocument/2006/relationships/hyperlink" Target="mailto:ira.a@jai.co.id" TargetMode="External"/><Relationship Id="rId286" Type="http://schemas.openxmlformats.org/officeDocument/2006/relationships/hyperlink" Target="mailto:binti.s@jai.co.id" TargetMode="External"/><Relationship Id="rId50" Type="http://schemas.openxmlformats.org/officeDocument/2006/relationships/hyperlink" Target="http://10.62.231.12:3000/index.php?option=com_jdownloads&amp;Itemid=53&amp;view=finish&amp;cid=11288&amp;catid=210" TargetMode="External"/><Relationship Id="rId104" Type="http://schemas.openxmlformats.org/officeDocument/2006/relationships/hyperlink" Target="http://10.62.231.12:3000/index.php?option=com_jdownloads&amp;Itemid=53&amp;view=finish&amp;cid=11190&amp;catid=218" TargetMode="External"/><Relationship Id="rId125" Type="http://schemas.openxmlformats.org/officeDocument/2006/relationships/hyperlink" Target="http://10.62.231.12:3000/index.php?option=com_jdownloads&amp;Itemid=53&amp;view=finish&amp;cid=6864&amp;catid=219" TargetMode="External"/><Relationship Id="rId146" Type="http://schemas.openxmlformats.org/officeDocument/2006/relationships/hyperlink" Target="http://10.62.231.12:3000/index.php?option=com_jdownloads&amp;Itemid=53&amp;view=finish&amp;cid=12410&amp;catid=221" TargetMode="External"/><Relationship Id="rId167" Type="http://schemas.openxmlformats.org/officeDocument/2006/relationships/hyperlink" Target="http://10.62.231.12:3000/index.php?option=com_jdownloads&amp;Itemid=53&amp;view=finish&amp;cid=12358&amp;catid=221" TargetMode="External"/><Relationship Id="rId188" Type="http://schemas.openxmlformats.org/officeDocument/2006/relationships/hyperlink" Target="http://10.62.231.12:3000/index.php?option=com_jdownloads&amp;Itemid=53&amp;view=finish&amp;cid=12479&amp;catid=223" TargetMode="External"/><Relationship Id="rId311" Type="http://schemas.openxmlformats.org/officeDocument/2006/relationships/hyperlink" Target="mailto:andik.e@jai.co.id" TargetMode="External"/><Relationship Id="rId332" Type="http://schemas.openxmlformats.org/officeDocument/2006/relationships/hyperlink" Target="mailto:andik.e@jai.co.id" TargetMode="External"/><Relationship Id="rId353" Type="http://schemas.openxmlformats.org/officeDocument/2006/relationships/drawing" Target="../drawings/drawing1.xml"/><Relationship Id="rId71" Type="http://schemas.openxmlformats.org/officeDocument/2006/relationships/hyperlink" Target="http://10.62.231.12:3000/index.php?option=com_jdownloads&amp;Itemid=53&amp;view=finish&amp;cid=14603&amp;catid=214" TargetMode="External"/><Relationship Id="rId92" Type="http://schemas.openxmlformats.org/officeDocument/2006/relationships/hyperlink" Target="http://10.62.231.12:3000/index.php?option=com_jdownloads&amp;Itemid=53&amp;view=finish&amp;cid=11238&amp;catid=217" TargetMode="External"/><Relationship Id="rId213" Type="http://schemas.openxmlformats.org/officeDocument/2006/relationships/hyperlink" Target="http://10.62.231.12:3000/index.php?option=com_jdownloads&amp;Itemid=53&amp;view=finish&amp;cid=14563&amp;catid=227" TargetMode="External"/><Relationship Id="rId234" Type="http://schemas.openxmlformats.org/officeDocument/2006/relationships/hyperlink" Target="http://10.62.231.12:3000/index.php?option=com_jdownloads&amp;Itemid=53&amp;view=finish&amp;cid=11106&amp;catid=228" TargetMode="External"/><Relationship Id="rId2" Type="http://schemas.openxmlformats.org/officeDocument/2006/relationships/hyperlink" Target="http://10.62.231.12:3000/index.php?option=com_jdownloads&amp;Itemid=53&amp;view=finish&amp;cid=11488&amp;catid=204" TargetMode="External"/><Relationship Id="rId29" Type="http://schemas.openxmlformats.org/officeDocument/2006/relationships/hyperlink" Target="http://intrajai:3000/index.php?option=com_jdownloads&amp;Itemid=53&amp;view=finish&amp;cid=12578&amp;catid=210" TargetMode="External"/><Relationship Id="rId255" Type="http://schemas.openxmlformats.org/officeDocument/2006/relationships/hyperlink" Target="mailto:evaningsih@jai.co.id" TargetMode="External"/><Relationship Id="rId276" Type="http://schemas.openxmlformats.org/officeDocument/2006/relationships/hyperlink" Target="mailto:endang.s@jai.co.id" TargetMode="External"/><Relationship Id="rId297" Type="http://schemas.openxmlformats.org/officeDocument/2006/relationships/hyperlink" Target="mailto:ghaitsul.a@jai.co.id" TargetMode="External"/><Relationship Id="rId40" Type="http://schemas.openxmlformats.org/officeDocument/2006/relationships/hyperlink" Target="http://10.62.231.12:3000/index.php?option=com_jdownloads&amp;Itemid=53&amp;view=finish&amp;cid=11173&amp;catid=214" TargetMode="External"/><Relationship Id="rId115" Type="http://schemas.openxmlformats.org/officeDocument/2006/relationships/hyperlink" Target="http://10.62.231.12:3000/index.php?option=com_jdownloads&amp;Itemid=53&amp;view=finish&amp;cid=14569&amp;catid=218" TargetMode="External"/><Relationship Id="rId136" Type="http://schemas.openxmlformats.org/officeDocument/2006/relationships/hyperlink" Target="http://10.62.231.12:3000/index.php?option=com_jdownloads&amp;Itemid=53&amp;view=finish&amp;cid=11242&amp;catid=221" TargetMode="External"/><Relationship Id="rId157" Type="http://schemas.openxmlformats.org/officeDocument/2006/relationships/hyperlink" Target="http://10.62.231.12:3000/index.php?option=com_jdownloads&amp;Itemid=53&amp;view=finish&amp;cid=14907&amp;catid=219" TargetMode="External"/><Relationship Id="rId178" Type="http://schemas.openxmlformats.org/officeDocument/2006/relationships/hyperlink" Target="http://10.62.231.12:3000/index.php?option=com_jdownloads&amp;Itemid=53&amp;view=finish&amp;cid=12158&amp;catid=222" TargetMode="External"/><Relationship Id="rId301" Type="http://schemas.openxmlformats.org/officeDocument/2006/relationships/hyperlink" Target="mailto:andik.e@jai.co.id" TargetMode="External"/><Relationship Id="rId322" Type="http://schemas.openxmlformats.org/officeDocument/2006/relationships/hyperlink" Target="mailto:andik.e@jai.co.id" TargetMode="External"/><Relationship Id="rId343" Type="http://schemas.openxmlformats.org/officeDocument/2006/relationships/hyperlink" Target="mailto:binti.s@jai.co.id" TargetMode="External"/><Relationship Id="rId61" Type="http://schemas.openxmlformats.org/officeDocument/2006/relationships/hyperlink" Target="http://10.62.231.12:3000/index.php?option=com_jdownloads&amp;Itemid=53&amp;view=finish&amp;cid=14870&amp;catid=210" TargetMode="External"/><Relationship Id="rId82" Type="http://schemas.openxmlformats.org/officeDocument/2006/relationships/hyperlink" Target="http://10.62.231.12:3000/index.php?option=com_jdownloads&amp;Itemid=53&amp;view=finish&amp;cid=12886&amp;catid=215" TargetMode="External"/><Relationship Id="rId199" Type="http://schemas.openxmlformats.org/officeDocument/2006/relationships/hyperlink" Target="http://10.62.231.12:3000/index.php?option=com_jdownloads&amp;Itemid=53&amp;view=finish&amp;cid=12795&amp;catid=223" TargetMode="External"/><Relationship Id="rId203" Type="http://schemas.openxmlformats.org/officeDocument/2006/relationships/hyperlink" Target="http://10.62.231.12:3000/index.php?option=com_jdownloads&amp;Itemid=53&amp;view=finish&amp;cid=8639&amp;catid=227" TargetMode="External"/><Relationship Id="rId19" Type="http://schemas.openxmlformats.org/officeDocument/2006/relationships/hyperlink" Target="http://10.62.231.12:3000/index.php?option=com_jdownloads&amp;Itemid=53&amp;view=finish&amp;cid=11218&amp;catid=206" TargetMode="External"/><Relationship Id="rId224" Type="http://schemas.openxmlformats.org/officeDocument/2006/relationships/hyperlink" Target="http://10.62.231.12:3000/index.php?option=com_jdownloads&amp;Itemid=53&amp;view=finish&amp;cid=14552&amp;catid=227" TargetMode="External"/><Relationship Id="rId245" Type="http://schemas.openxmlformats.org/officeDocument/2006/relationships/hyperlink" Target="http://10.62.231.12:3000/index.php?option=com_jdownloads&amp;Itemid=53&amp;view=finish&amp;cid=11280&amp;catid=229" TargetMode="External"/><Relationship Id="rId266" Type="http://schemas.openxmlformats.org/officeDocument/2006/relationships/hyperlink" Target="mailto:ira.a@jai.co.id" TargetMode="External"/><Relationship Id="rId287" Type="http://schemas.openxmlformats.org/officeDocument/2006/relationships/hyperlink" Target="mailto:binti.s@jai.co.id" TargetMode="External"/><Relationship Id="rId30" Type="http://schemas.openxmlformats.org/officeDocument/2006/relationships/hyperlink" Target="http://10.62.231.12:3000/index.php?option=com_jdownloads&amp;Itemid=53&amp;view=finish&amp;cid=11358&amp;catid=210" TargetMode="External"/><Relationship Id="rId105" Type="http://schemas.openxmlformats.org/officeDocument/2006/relationships/hyperlink" Target="http://10.62.231.12:3000/index.php?option=com_jdownloads&amp;Itemid=53&amp;view=finish&amp;cid=11191&amp;catid=218" TargetMode="External"/><Relationship Id="rId126" Type="http://schemas.openxmlformats.org/officeDocument/2006/relationships/hyperlink" Target="http://10.62.231.12:3000/index.php?option=com_jdownloads&amp;Itemid=53&amp;view=finish&amp;cid=10548&amp;catid=219" TargetMode="External"/><Relationship Id="rId147" Type="http://schemas.openxmlformats.org/officeDocument/2006/relationships/hyperlink" Target="http://10.62.231.12:3000/index.php?option=com_jdownloads&amp;Itemid=53&amp;view=finish&amp;cid=12791&amp;catid=221" TargetMode="External"/><Relationship Id="rId168" Type="http://schemas.openxmlformats.org/officeDocument/2006/relationships/hyperlink" Target="http://10.62.231.12:3000/index.php?option=com_jdownloads&amp;Itemid=53&amp;view=finish&amp;cid=12652&amp;catid=221" TargetMode="External"/><Relationship Id="rId312" Type="http://schemas.openxmlformats.org/officeDocument/2006/relationships/hyperlink" Target="mailto:andik.e@jai.co.id" TargetMode="External"/><Relationship Id="rId333" Type="http://schemas.openxmlformats.org/officeDocument/2006/relationships/hyperlink" Target="mailto:andik.e@jai.co.id" TargetMode="External"/><Relationship Id="rId354" Type="http://schemas.openxmlformats.org/officeDocument/2006/relationships/vmlDrawing" Target="../drawings/vmlDrawing1.vml"/><Relationship Id="rId51" Type="http://schemas.openxmlformats.org/officeDocument/2006/relationships/hyperlink" Target="http://10.62.231.12:3000/index.php?option=com_jdownloads&amp;Itemid=53&amp;view=finish&amp;cid=11325&amp;catid=210" TargetMode="External"/><Relationship Id="rId72" Type="http://schemas.openxmlformats.org/officeDocument/2006/relationships/hyperlink" Target="http://10.62.231.12:3000/index.php?option=com_jdownloads&amp;Itemid=53&amp;view=finish&amp;cid=14605&amp;catid=214" TargetMode="External"/><Relationship Id="rId93" Type="http://schemas.openxmlformats.org/officeDocument/2006/relationships/hyperlink" Target="http://10.62.231.12:3000/index.php?option=com_jdownloads&amp;Itemid=53&amp;view=finish&amp;cid=11271&amp;catid=217" TargetMode="External"/><Relationship Id="rId189" Type="http://schemas.openxmlformats.org/officeDocument/2006/relationships/hyperlink" Target="http://10.62.231.12:3000/index.php?option=com_jdownloads&amp;Itemid=53&amp;view=finish&amp;cid=12478&amp;catid=223" TargetMode="External"/><Relationship Id="rId3" Type="http://schemas.openxmlformats.org/officeDocument/2006/relationships/hyperlink" Target="http://10.62.231.12:3000/index.php?option=com_jdownloads&amp;Itemid=53&amp;view=finish&amp;cid=11489&amp;catid=235" TargetMode="External"/><Relationship Id="rId214" Type="http://schemas.openxmlformats.org/officeDocument/2006/relationships/hyperlink" Target="http://10.62.231.12:3000/index.php?option=com_jdownloads&amp;Itemid=53&amp;view=finish&amp;cid=14694&amp;catid=227" TargetMode="External"/><Relationship Id="rId235" Type="http://schemas.openxmlformats.org/officeDocument/2006/relationships/hyperlink" Target="http://10.62.231.12:3000/index.php?option=com_jdownloads&amp;Itemid=53&amp;view=finish&amp;cid=11228&amp;catid=229" TargetMode="External"/><Relationship Id="rId256" Type="http://schemas.openxmlformats.org/officeDocument/2006/relationships/hyperlink" Target="mailto:evaningsih@jai.co.id" TargetMode="External"/><Relationship Id="rId277" Type="http://schemas.openxmlformats.org/officeDocument/2006/relationships/hyperlink" Target="mailto:endang.s@jai.co.id" TargetMode="External"/><Relationship Id="rId298" Type="http://schemas.openxmlformats.org/officeDocument/2006/relationships/hyperlink" Target="mailto:tatag.k@jai.co.id,david.a@jai.co.id" TargetMode="External"/><Relationship Id="rId116" Type="http://schemas.openxmlformats.org/officeDocument/2006/relationships/hyperlink" Target="http://10.62.231.12:3000/index.php?option=com_jdownloads&amp;Itemid=53&amp;view=finish&amp;cid=11131&amp;catid=219" TargetMode="External"/><Relationship Id="rId137" Type="http://schemas.openxmlformats.org/officeDocument/2006/relationships/hyperlink" Target="http://10.62.231.12:3000/index.php?option=com_jdownloads&amp;Itemid=53&amp;view=finish&amp;cid=11243&amp;catid=221" TargetMode="External"/><Relationship Id="rId158" Type="http://schemas.openxmlformats.org/officeDocument/2006/relationships/hyperlink" Target="http://10.62.231.12:3000/index.php?option=com_jdownloads&amp;Itemid=53&amp;view=finish&amp;cid=11247&amp;catid=221" TargetMode="External"/><Relationship Id="rId302" Type="http://schemas.openxmlformats.org/officeDocument/2006/relationships/hyperlink" Target="mailto:andik.e@jai.co.id" TargetMode="External"/><Relationship Id="rId323" Type="http://schemas.openxmlformats.org/officeDocument/2006/relationships/hyperlink" Target="mailto:yachrul.h@jai.co.id" TargetMode="External"/><Relationship Id="rId344" Type="http://schemas.openxmlformats.org/officeDocument/2006/relationships/hyperlink" Target="mailto:endang.s@jai.co.id" TargetMode="External"/><Relationship Id="rId20" Type="http://schemas.openxmlformats.org/officeDocument/2006/relationships/hyperlink" Target="http://10.62.231.12:3000/index.php?option=com_jdownloads&amp;Itemid=53&amp;view=finish&amp;cid=11231&amp;catid=207" TargetMode="External"/><Relationship Id="rId41" Type="http://schemas.openxmlformats.org/officeDocument/2006/relationships/hyperlink" Target="http://10.62.231.12:3000/index.php?option=com_jdownloads&amp;Itemid=53&amp;view=finish&amp;cid=11174&amp;catid=214" TargetMode="External"/><Relationship Id="rId62" Type="http://schemas.openxmlformats.org/officeDocument/2006/relationships/hyperlink" Target="http://10.62.231.12:3000/index.php?option=com_jdownloads&amp;Itemid=53&amp;view=finish&amp;cid=14967&amp;catid=214" TargetMode="External"/><Relationship Id="rId83" Type="http://schemas.openxmlformats.org/officeDocument/2006/relationships/hyperlink" Target="http://10.62.231.12:3000/index.php?option=com_jdownloads&amp;Itemid=53&amp;view=finish&amp;cid=12965&amp;catid=215" TargetMode="External"/><Relationship Id="rId179" Type="http://schemas.openxmlformats.org/officeDocument/2006/relationships/hyperlink" Target="http://10.62.231.12:3000/index.php?option=com_jdownloads&amp;Itemid=53&amp;view=finish&amp;cid=12430&amp;catid=222" TargetMode="External"/><Relationship Id="rId190" Type="http://schemas.openxmlformats.org/officeDocument/2006/relationships/hyperlink" Target="http://10.62.231.12:3000/index.php?option=com_jdownloads&amp;Itemid=53&amp;view=finish&amp;cid=12794&amp;catid=223" TargetMode="External"/><Relationship Id="rId204" Type="http://schemas.openxmlformats.org/officeDocument/2006/relationships/hyperlink" Target="http://10.62.231.12:3000/index.php?option=com_jdownloads&amp;Itemid=53&amp;view=finish&amp;cid=11194&amp;catid=224" TargetMode="External"/><Relationship Id="rId225" Type="http://schemas.openxmlformats.org/officeDocument/2006/relationships/hyperlink" Target="http://10.62.231.12:3000/index.php?option=com_jdownloads&amp;Itemid=53&amp;view=finish&amp;cid=14861&amp;catid=227" TargetMode="External"/><Relationship Id="rId246" Type="http://schemas.openxmlformats.org/officeDocument/2006/relationships/hyperlink" Target="http://10.62.231.12:3000/index.php?option=com_jdownloads&amp;Itemid=53&amp;view=finish&amp;cid=12364&amp;catid=229" TargetMode="External"/><Relationship Id="rId267" Type="http://schemas.openxmlformats.org/officeDocument/2006/relationships/hyperlink" Target="mailto:ira.a@jai.co.id" TargetMode="External"/><Relationship Id="rId288" Type="http://schemas.openxmlformats.org/officeDocument/2006/relationships/hyperlink" Target="mailto:binti.s@jai.co.id" TargetMode="External"/><Relationship Id="rId106" Type="http://schemas.openxmlformats.org/officeDocument/2006/relationships/hyperlink" Target="http://10.62.231.12:3000/index.php?option=com_jdownloads&amp;Itemid=53&amp;view=finish&amp;cid=11192&amp;catid=218" TargetMode="External"/><Relationship Id="rId127" Type="http://schemas.openxmlformats.org/officeDocument/2006/relationships/hyperlink" Target="http://10.62.231.12:3000/index.php?option=com_jdownloads&amp;Itemid=53&amp;view=finish&amp;cid=10614&amp;catid=219" TargetMode="External"/><Relationship Id="rId313" Type="http://schemas.openxmlformats.org/officeDocument/2006/relationships/hyperlink" Target="mailto:andik.e@jai.co.id" TargetMode="External"/><Relationship Id="rId10" Type="http://schemas.openxmlformats.org/officeDocument/2006/relationships/hyperlink" Target="http://10.62.231.12:3000/index.php?option=com_jdownloads&amp;Itemid=53&amp;view=finish&amp;cid=11137&amp;catid=206" TargetMode="External"/><Relationship Id="rId31" Type="http://schemas.openxmlformats.org/officeDocument/2006/relationships/hyperlink" Target="http://10.62.231.12:3000/index.php?option=com_jdownloads&amp;Itemid=53&amp;view=finish&amp;cid=12405&amp;catid=210" TargetMode="External"/><Relationship Id="rId52" Type="http://schemas.openxmlformats.org/officeDocument/2006/relationships/hyperlink" Target="http://10.62.231.12:3000/index.php?option=com_jdownloads&amp;Itemid=53&amp;view=finish&amp;cid=11327&amp;catid=210" TargetMode="External"/><Relationship Id="rId73" Type="http://schemas.openxmlformats.org/officeDocument/2006/relationships/hyperlink" Target="http://intrajai:3000/index.php?option=com_jdownloads&amp;Itemid=53&amp;view=finish&amp;cid=12574&amp;catid=214" TargetMode="External"/><Relationship Id="rId94" Type="http://schemas.openxmlformats.org/officeDocument/2006/relationships/hyperlink" Target="http://10.62.231.12:3000/index.php?option=com_jdownloads&amp;Itemid=53&amp;view=finish&amp;cid=11272&amp;catid=217" TargetMode="External"/><Relationship Id="rId148" Type="http://schemas.openxmlformats.org/officeDocument/2006/relationships/hyperlink" Target="http://10.62.231.12:3000/index.php?option=com_jdownloads&amp;Itemid=53&amp;view=finish&amp;cid=12792&amp;catid=221" TargetMode="External"/><Relationship Id="rId169" Type="http://schemas.openxmlformats.org/officeDocument/2006/relationships/hyperlink" Target="http://10.62.231.12:3000/index.php?option=com_jdownloads&amp;Itemid=53&amp;view=finish&amp;cid=12793&amp;catid=222" TargetMode="External"/><Relationship Id="rId334" Type="http://schemas.openxmlformats.org/officeDocument/2006/relationships/hyperlink" Target="mailto:andik.e@jai.co.id" TargetMode="External"/><Relationship Id="rId355" Type="http://schemas.openxmlformats.org/officeDocument/2006/relationships/comments" Target="../comments1.xml"/><Relationship Id="rId4" Type="http://schemas.openxmlformats.org/officeDocument/2006/relationships/hyperlink" Target="http://10.62.231.12:3000/index.php?option=com_jdownloads&amp;Itemid=53&amp;view=finish&amp;cid=14723&amp;catid=141" TargetMode="External"/><Relationship Id="rId180" Type="http://schemas.openxmlformats.org/officeDocument/2006/relationships/hyperlink" Target="http://10.62.231.12:3000/index.php?option=com_jdownloads&amp;Itemid=53&amp;view=finish&amp;cid=12506&amp;catid=222" TargetMode="External"/><Relationship Id="rId215" Type="http://schemas.openxmlformats.org/officeDocument/2006/relationships/hyperlink" Target="http://10.62.231.12:3000/index.php?option=com_jdownloads&amp;Itemid=53&amp;view=finish&amp;cid=11041&amp;catid=227" TargetMode="External"/><Relationship Id="rId236" Type="http://schemas.openxmlformats.org/officeDocument/2006/relationships/hyperlink" Target="http://10.62.231.12:3000/index.php?option=com_jdownloads&amp;Itemid=53&amp;view=finish&amp;cid=11276&amp;catid=228" TargetMode="External"/><Relationship Id="rId257" Type="http://schemas.openxmlformats.org/officeDocument/2006/relationships/hyperlink" Target="mailto:evaningsih@jai.co.id" TargetMode="External"/><Relationship Id="rId278" Type="http://schemas.openxmlformats.org/officeDocument/2006/relationships/hyperlink" Target="mailto:endang.s@jai.co.id" TargetMode="External"/><Relationship Id="rId303" Type="http://schemas.openxmlformats.org/officeDocument/2006/relationships/hyperlink" Target="mailto:andik.e@jai.co.id" TargetMode="External"/><Relationship Id="rId42" Type="http://schemas.openxmlformats.org/officeDocument/2006/relationships/hyperlink" Target="http://10.62.231.12:3000/index.php?option=com_jdownloads&amp;Itemid=53&amp;view=finish&amp;cid=11185&amp;catid=210" TargetMode="External"/><Relationship Id="rId84" Type="http://schemas.openxmlformats.org/officeDocument/2006/relationships/hyperlink" Target="http://10.62.231.12:3000/index.php?option=com_jdownloads&amp;Itemid=53&amp;view=finish&amp;cid=14790&amp;catid=215" TargetMode="External"/><Relationship Id="rId138" Type="http://schemas.openxmlformats.org/officeDocument/2006/relationships/hyperlink" Target="http://10.62.231.12:3000/index.php?option=com_jdownloads&amp;Itemid=53&amp;view=finish&amp;cid=11244&amp;catid=221" TargetMode="External"/><Relationship Id="rId345" Type="http://schemas.openxmlformats.org/officeDocument/2006/relationships/hyperlink" Target="mailto:binti.s@jai.co.id" TargetMode="External"/><Relationship Id="rId191" Type="http://schemas.openxmlformats.org/officeDocument/2006/relationships/hyperlink" Target="http://10.62.231.12:3000/index.php?option=com_jdownloads&amp;Itemid=53&amp;view=finish&amp;cid=14962&amp;catid=223" TargetMode="External"/><Relationship Id="rId205" Type="http://schemas.openxmlformats.org/officeDocument/2006/relationships/hyperlink" Target="http://10.62.231.12:3000/index.php?option=com_jdownloads&amp;Itemid=53&amp;view=finish&amp;cid=11252&amp;catid=224" TargetMode="External"/><Relationship Id="rId247" Type="http://schemas.openxmlformats.org/officeDocument/2006/relationships/hyperlink" Target="http://10.62.231.12:3000/index.php?option=com_jdownloads&amp;Itemid=53&amp;view=finish&amp;cid=12402&amp;catid=230" TargetMode="External"/><Relationship Id="rId107" Type="http://schemas.openxmlformats.org/officeDocument/2006/relationships/hyperlink" Target="http://10.62.231.12:3000/index.php?option=com_jdownloads&amp;Itemid=53&amp;view=finish&amp;cid=12361&amp;catid=218" TargetMode="External"/><Relationship Id="rId289" Type="http://schemas.openxmlformats.org/officeDocument/2006/relationships/hyperlink" Target="mailto:binti.s@jai.co.id" TargetMode="External"/><Relationship Id="rId11" Type="http://schemas.openxmlformats.org/officeDocument/2006/relationships/hyperlink" Target="http://10.62.231.12:3000/index.php?option=com_jdownloads&amp;Itemid=53&amp;view=finish&amp;cid=11306&amp;catid=206" TargetMode="External"/><Relationship Id="rId53" Type="http://schemas.openxmlformats.org/officeDocument/2006/relationships/hyperlink" Target="http://10.62.231.12:3000/index.php?option=com_jdownloads&amp;Itemid=53&amp;view=finish&amp;cid=11326&amp;catid=210" TargetMode="External"/><Relationship Id="rId149" Type="http://schemas.openxmlformats.org/officeDocument/2006/relationships/hyperlink" Target="http://10.62.231.12:3000/index.php?option=com_jdownloads&amp;Itemid=53&amp;view=finish&amp;cid=12952&amp;catid=221" TargetMode="External"/><Relationship Id="rId314" Type="http://schemas.openxmlformats.org/officeDocument/2006/relationships/hyperlink" Target="mailto:andik.e@jai.co.id" TargetMode="External"/><Relationship Id="rId95" Type="http://schemas.openxmlformats.org/officeDocument/2006/relationships/hyperlink" Target="http://10.62.231.12:3000/index.php?option=com_jdownloads&amp;Itemid=53&amp;view=finish&amp;cid=12407&amp;catid=217" TargetMode="External"/><Relationship Id="rId160" Type="http://schemas.openxmlformats.org/officeDocument/2006/relationships/hyperlink" Target="http://10.62.231.12:3000/index.php?option=com_jdownloads&amp;Itemid=53&amp;view=finish&amp;cid=11220&amp;catid=221" TargetMode="External"/><Relationship Id="rId216" Type="http://schemas.openxmlformats.org/officeDocument/2006/relationships/hyperlink" Target="http://10.62.231.12:3000/index.php?option=com_jdownloads&amp;Itemid=53&amp;view=finish&amp;cid=11133&amp;catid=227" TargetMode="External"/><Relationship Id="rId258" Type="http://schemas.openxmlformats.org/officeDocument/2006/relationships/hyperlink" Target="mailto:evaningsih@jai.co.id" TargetMode="External"/><Relationship Id="rId22" Type="http://schemas.openxmlformats.org/officeDocument/2006/relationships/hyperlink" Target="http://10.62.231.12:3000/index.php?option=com_jdownloads&amp;Itemid=53&amp;view=finish&amp;cid=12918&amp;catid=208" TargetMode="External"/><Relationship Id="rId64" Type="http://schemas.openxmlformats.org/officeDocument/2006/relationships/hyperlink" Target="http://10.62.231.12:3000/index.php?option=com_jdownloads&amp;Itemid=53&amp;view=finish&amp;cid=11175&amp;catid=215" TargetMode="External"/><Relationship Id="rId118" Type="http://schemas.openxmlformats.org/officeDocument/2006/relationships/hyperlink" Target="http://10.62.231.12:3000/index.php?option=com_jdownloads&amp;Itemid=53&amp;view=finish&amp;cid=14851&amp;catid=219" TargetMode="External"/><Relationship Id="rId325" Type="http://schemas.openxmlformats.org/officeDocument/2006/relationships/hyperlink" Target="mailto:yachrul.h@jai.co.id," TargetMode="External"/><Relationship Id="rId171" Type="http://schemas.openxmlformats.org/officeDocument/2006/relationships/hyperlink" Target="http://10.62.231.12:3000/index.php?option=com_jdownloads&amp;Itemid=53&amp;view=finish&amp;cid=12521&amp;catid=221" TargetMode="External"/><Relationship Id="rId227" Type="http://schemas.openxmlformats.org/officeDocument/2006/relationships/hyperlink" Target="http://10.62.231.12:3000/index.php?option=com_jdownloads&amp;Itemid=53&amp;view=finish&amp;cid=11055&amp;catid=228" TargetMode="External"/><Relationship Id="rId269" Type="http://schemas.openxmlformats.org/officeDocument/2006/relationships/hyperlink" Target="mailto:ira.a@jai.co.id" TargetMode="External"/><Relationship Id="rId33" Type="http://schemas.openxmlformats.org/officeDocument/2006/relationships/hyperlink" Target="http://intrajai:3000/index.php?option=com_jdownloads&amp;Itemid=53&amp;view=finish&amp;cid=2182&amp;catid=214" TargetMode="External"/><Relationship Id="rId129" Type="http://schemas.openxmlformats.org/officeDocument/2006/relationships/hyperlink" Target="http://10.62.231.12:3000/index.php?option=com_jdownloads&amp;Itemid=53&amp;view=finish&amp;cid=12953&amp;catid=219" TargetMode="External"/><Relationship Id="rId280" Type="http://schemas.openxmlformats.org/officeDocument/2006/relationships/hyperlink" Target="mailto:endang.s@jai.co.id" TargetMode="External"/><Relationship Id="rId336" Type="http://schemas.openxmlformats.org/officeDocument/2006/relationships/hyperlink" Target="mailto:andik.e@jai.co.id" TargetMode="External"/><Relationship Id="rId75" Type="http://schemas.openxmlformats.org/officeDocument/2006/relationships/hyperlink" Target="http://10.62.231.12:3000/index.php?option=com_jdownloads&amp;Itemid=53&amp;view=finish&amp;cid=14966&amp;catid=215" TargetMode="External"/><Relationship Id="rId140" Type="http://schemas.openxmlformats.org/officeDocument/2006/relationships/hyperlink" Target="http://10.62.231.12:3000/index.php?option=com_jdownloads&amp;Itemid=53&amp;view=finish&amp;cid=11246&amp;catid=221" TargetMode="External"/><Relationship Id="rId182" Type="http://schemas.openxmlformats.org/officeDocument/2006/relationships/hyperlink" Target="http://10.62.231.12:3000/index.php?option=com_jdownloads&amp;Itemid=53&amp;view=finish&amp;cid=12963&amp;catid=222" TargetMode="External"/><Relationship Id="rId6" Type="http://schemas.openxmlformats.org/officeDocument/2006/relationships/hyperlink" Target="http://10.62.231.12:3000/index.php?option=com_jdownloads&amp;Itemid=53&amp;view=finish&amp;cid=14553&amp;catid=204" TargetMode="External"/><Relationship Id="rId238" Type="http://schemas.openxmlformats.org/officeDocument/2006/relationships/hyperlink" Target="http://10.62.231.12:3000/index.php?option=com_jdownloads&amp;Itemid=53&amp;view=finish&amp;cid=12440&amp;catid=228" TargetMode="External"/><Relationship Id="rId291" Type="http://schemas.openxmlformats.org/officeDocument/2006/relationships/hyperlink" Target="mailto:ferry.i@jai.co.id," TargetMode="External"/><Relationship Id="rId305" Type="http://schemas.openxmlformats.org/officeDocument/2006/relationships/hyperlink" Target="mailto:andik.e@jai.co.id" TargetMode="External"/><Relationship Id="rId347" Type="http://schemas.openxmlformats.org/officeDocument/2006/relationships/hyperlink" Target="mailto:binti.s@jai.co.id" TargetMode="External"/><Relationship Id="rId44" Type="http://schemas.openxmlformats.org/officeDocument/2006/relationships/hyperlink" Target="http://10.62.231.12:3000/index.php?option=com_jdownloads&amp;Itemid=53&amp;view=finish&amp;cid=11265&amp;catid=210" TargetMode="External"/><Relationship Id="rId86" Type="http://schemas.openxmlformats.org/officeDocument/2006/relationships/hyperlink" Target="http://10.62.231.12:3000/index.php?option=com_jdownloads&amp;Itemid=53&amp;view=finish&amp;cid=14965&amp;catid=215" TargetMode="External"/><Relationship Id="rId151" Type="http://schemas.openxmlformats.org/officeDocument/2006/relationships/hyperlink" Target="http://10.62.231.12:3000/index.php?option=com_jdownloads&amp;Itemid=53&amp;view=finish&amp;cid=12575&amp;catid=221" TargetMode="External"/><Relationship Id="rId193" Type="http://schemas.openxmlformats.org/officeDocument/2006/relationships/hyperlink" Target="http://10.62.231.12:3000/index.php?option=com_jdownloads&amp;Itemid=53&amp;view=finish&amp;cid=11159&amp;catid=223" TargetMode="External"/><Relationship Id="rId207" Type="http://schemas.openxmlformats.org/officeDocument/2006/relationships/hyperlink" Target="http://10.62.231.12:3000/index.php?option=com_jdownloads&amp;Itemid=53&amp;view=finish&amp;cid=12966&amp;catid=227" TargetMode="External"/><Relationship Id="rId249" Type="http://schemas.openxmlformats.org/officeDocument/2006/relationships/hyperlink" Target="http://10.62.231.12:3000/index.php?option=com_jdownloads&amp;Itemid=53&amp;view=finish&amp;cid=12899&amp;catid=230" TargetMode="External"/><Relationship Id="rId13" Type="http://schemas.openxmlformats.org/officeDocument/2006/relationships/hyperlink" Target="http://10.62.231.12:3000/index.php?option=com_jdownloads&amp;Itemid=53&amp;view=finish&amp;cid=11138&amp;catid=206" TargetMode="External"/><Relationship Id="rId109" Type="http://schemas.openxmlformats.org/officeDocument/2006/relationships/hyperlink" Target="http://10.62.231.12:3000/index.php?option=com_jdownloads&amp;Itemid=53&amp;view=finish&amp;cid=11152&amp;catid=218" TargetMode="External"/><Relationship Id="rId260" Type="http://schemas.openxmlformats.org/officeDocument/2006/relationships/hyperlink" Target="mailto:dedi.k@jai.co.id" TargetMode="External"/><Relationship Id="rId316" Type="http://schemas.openxmlformats.org/officeDocument/2006/relationships/hyperlink" Target="mailto:andik.e@jai.co.id" TargetMode="External"/><Relationship Id="rId55" Type="http://schemas.openxmlformats.org/officeDocument/2006/relationships/hyperlink" Target="http://10.62.231.12:3000/index.php?option=com_jdownloads&amp;Itemid=53&amp;view=finish&amp;cid=11329&amp;catid=210" TargetMode="External"/><Relationship Id="rId97" Type="http://schemas.openxmlformats.org/officeDocument/2006/relationships/hyperlink" Target="http://10.62.231.12:3000/index.php?option=com_jdownloads&amp;Itemid=53&amp;view=finish&amp;cid=11236&amp;catid=218" TargetMode="External"/><Relationship Id="rId120" Type="http://schemas.openxmlformats.org/officeDocument/2006/relationships/hyperlink" Target="http://10.62.231.12:3000/index.php?option=com_jdownloads&amp;Itemid=53&amp;view=finish&amp;cid=11240&amp;catid=219" TargetMode="External"/><Relationship Id="rId162" Type="http://schemas.openxmlformats.org/officeDocument/2006/relationships/hyperlink" Target="http://10.62.231.12:3000/index.php?option=com_jdownloads&amp;Itemid=53&amp;view=finish&amp;cid=11248&amp;catid=221" TargetMode="External"/><Relationship Id="rId218" Type="http://schemas.openxmlformats.org/officeDocument/2006/relationships/hyperlink" Target="http://10.62.231.12:3000/index.php?option=com_jdownloads&amp;Itemid=53&amp;view=finish&amp;cid=11279&amp;catid=228" TargetMode="External"/><Relationship Id="rId271" Type="http://schemas.openxmlformats.org/officeDocument/2006/relationships/hyperlink" Target="mailto:endang.s@jai.co.id" TargetMode="External"/><Relationship Id="rId24" Type="http://schemas.openxmlformats.org/officeDocument/2006/relationships/hyperlink" Target="http://10.62.231.12:3000/index.php?option=com_jdownloads&amp;Itemid=53&amp;view=finish&amp;cid=11287&amp;catid=210" TargetMode="External"/><Relationship Id="rId66" Type="http://schemas.openxmlformats.org/officeDocument/2006/relationships/hyperlink" Target="http://10.62.231.12:3000/index.php?option=com_jdownloads&amp;Itemid=53&amp;view=finish&amp;cid=11176&amp;catid=215" TargetMode="External"/><Relationship Id="rId131" Type="http://schemas.openxmlformats.org/officeDocument/2006/relationships/hyperlink" Target="http://10.62.231.12:3000/index.php?option=com_jdownloads&amp;Itemid=53&amp;view=finish&amp;cid=14860&amp;catid=219" TargetMode="External"/><Relationship Id="rId327" Type="http://schemas.openxmlformats.org/officeDocument/2006/relationships/hyperlink" Target="mailto:andik.e@jai.co.id" TargetMode="External"/><Relationship Id="rId173" Type="http://schemas.openxmlformats.org/officeDocument/2006/relationships/hyperlink" Target="http://10.62.231.12:3000/index.php?option=com_jdownloads&amp;Itemid=53&amp;view=finish&amp;cid=14964&amp;catid=222" TargetMode="External"/><Relationship Id="rId229" Type="http://schemas.openxmlformats.org/officeDocument/2006/relationships/hyperlink" Target="http://10.62.231.12:3000/index.php?option=com_jdownloads&amp;Itemid=53&amp;view=finish&amp;cid=11083&amp;catid=228" TargetMode="External"/><Relationship Id="rId240" Type="http://schemas.openxmlformats.org/officeDocument/2006/relationships/hyperlink" Target="http://10.62.231.12:3000/index.php?option=com_jdownloads&amp;Itemid=53&amp;view=finish&amp;cid=14676&amp;catid=229" TargetMode="External"/><Relationship Id="rId35" Type="http://schemas.openxmlformats.org/officeDocument/2006/relationships/hyperlink" Target="http://10.62.231.12:3000/index.php?option=com_jdownloads&amp;Itemid=53&amp;view=finish&amp;cid=8567&amp;catid=214" TargetMode="External"/><Relationship Id="rId77" Type="http://schemas.openxmlformats.org/officeDocument/2006/relationships/hyperlink" Target="http://10.62.231.12:3000/index.php?option=com_jdownloads&amp;Itemid=53&amp;view=finish&amp;cid=8422&amp;catid=215" TargetMode="External"/><Relationship Id="rId100" Type="http://schemas.openxmlformats.org/officeDocument/2006/relationships/hyperlink" Target="http://10.62.231.12:3000/index.php?option=com_jdownloads&amp;Itemid=53&amp;view=finish&amp;cid=11151&amp;catid=218" TargetMode="External"/><Relationship Id="rId282" Type="http://schemas.openxmlformats.org/officeDocument/2006/relationships/hyperlink" Target="mailto:endang.s@jai.co.id" TargetMode="External"/><Relationship Id="rId338" Type="http://schemas.openxmlformats.org/officeDocument/2006/relationships/hyperlink" Target="mailto:andik.e@jai.co.id" TargetMode="External"/><Relationship Id="rId8" Type="http://schemas.openxmlformats.org/officeDocument/2006/relationships/hyperlink" Target="http://10.62.231.12:3000/index.php?option=com_jdownloads&amp;Itemid=53&amp;view=finish&amp;cid=14969&amp;catid=205" TargetMode="External"/><Relationship Id="rId142" Type="http://schemas.openxmlformats.org/officeDocument/2006/relationships/hyperlink" Target="http://10.62.231.12:3000/index.php?option=com_jdownloads&amp;Itemid=53&amp;view=finish&amp;cid=11480&amp;catid=221" TargetMode="External"/><Relationship Id="rId184" Type="http://schemas.openxmlformats.org/officeDocument/2006/relationships/hyperlink" Target="http://10.62.231.12:3000/index.php?option=com_jdownloads&amp;Itemid=53&amp;view=finish&amp;cid=12382&amp;catid=22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10.62.231.12:3000/index.php?option=com_jdownloads&amp;Itemid=53&amp;view=finish&amp;cid=12444&amp;catid=219" TargetMode="External"/><Relationship Id="rId299" Type="http://schemas.openxmlformats.org/officeDocument/2006/relationships/hyperlink" Target="mailto:tatag.k@jai.co.id,david.a@jai.co.id" TargetMode="External"/><Relationship Id="rId21" Type="http://schemas.openxmlformats.org/officeDocument/2006/relationships/hyperlink" Target="http://10.62.231.12:3000/index.php?option=com_jdownloads&amp;Itemid=53&amp;view=finish&amp;cid=14566&amp;catid=208" TargetMode="External"/><Relationship Id="rId63" Type="http://schemas.openxmlformats.org/officeDocument/2006/relationships/hyperlink" Target="http://10.62.231.12:3000/index.php?option=com_jdownloads&amp;Itemid=53&amp;view=finish&amp;cid=8794&amp;catid=214" TargetMode="External"/><Relationship Id="rId159" Type="http://schemas.openxmlformats.org/officeDocument/2006/relationships/hyperlink" Target="http://intrajai:3000/index.php?option=com_jdownloads&amp;Itemid=53&amp;view=finish&amp;cid=3906&amp;catid=221" TargetMode="External"/><Relationship Id="rId324" Type="http://schemas.openxmlformats.org/officeDocument/2006/relationships/hyperlink" Target="mailto:yachrul.h@jai.co.id," TargetMode="External"/><Relationship Id="rId366" Type="http://schemas.openxmlformats.org/officeDocument/2006/relationships/comments" Target="../comments2.xml"/><Relationship Id="rId170" Type="http://schemas.openxmlformats.org/officeDocument/2006/relationships/hyperlink" Target="http://intrajai:3000/index.php?option=com_jdownloads&amp;Itemid=53&amp;view=finish&amp;cid=14679&amp;catid=221" TargetMode="External"/><Relationship Id="rId226" Type="http://schemas.openxmlformats.org/officeDocument/2006/relationships/hyperlink" Target="http://10.62.231.12:3000/index.php?option=com_jdownloads&amp;Itemid=53&amp;view=finish&amp;cid=14902&amp;catid=227" TargetMode="External"/><Relationship Id="rId268" Type="http://schemas.openxmlformats.org/officeDocument/2006/relationships/hyperlink" Target="mailto:ira.a@jai.co.id" TargetMode="External"/><Relationship Id="rId32" Type="http://schemas.openxmlformats.org/officeDocument/2006/relationships/hyperlink" Target="http://intrajai:3000/index.php?option=com_jdownloads&amp;Itemid=53&amp;view=finish&amp;cid=2176&amp;catid=214" TargetMode="External"/><Relationship Id="rId74" Type="http://schemas.openxmlformats.org/officeDocument/2006/relationships/hyperlink" Target="http://10.62.231.12:3000/index.php?option=com_jdownloads&amp;Itemid=53&amp;view=finish&amp;cid=14744&amp;catid=214" TargetMode="External"/><Relationship Id="rId128" Type="http://schemas.openxmlformats.org/officeDocument/2006/relationships/hyperlink" Target="http://10.62.231.12:3000/index.php?option=com_jdownloads&amp;Itemid=53&amp;view=finish&amp;cid=12409&amp;catid=219" TargetMode="External"/><Relationship Id="rId335" Type="http://schemas.openxmlformats.org/officeDocument/2006/relationships/hyperlink" Target="mailto:andik.e@jai.co.id" TargetMode="External"/><Relationship Id="rId5" Type="http://schemas.openxmlformats.org/officeDocument/2006/relationships/hyperlink" Target="http://10.62.231.12:3000/index.php?option=com_jdownloads&amp;Itemid=53&amp;view=finish&amp;cid=12156&amp;catid=235" TargetMode="External"/><Relationship Id="rId181" Type="http://schemas.openxmlformats.org/officeDocument/2006/relationships/hyperlink" Target="http://10.62.231.12:3000/index.php?option=com_jdownloads&amp;Itemid=53&amp;view=finish&amp;cid=14921&amp;catid=222" TargetMode="External"/><Relationship Id="rId237" Type="http://schemas.openxmlformats.org/officeDocument/2006/relationships/hyperlink" Target="http://10.62.231.12:3000/index.php?option=com_jdownloads&amp;Itemid=53&amp;view=finish&amp;cid=12159&amp;catid=228" TargetMode="External"/><Relationship Id="rId279" Type="http://schemas.openxmlformats.org/officeDocument/2006/relationships/hyperlink" Target="mailto:endang.s@jai.co.id" TargetMode="External"/><Relationship Id="rId43" Type="http://schemas.openxmlformats.org/officeDocument/2006/relationships/hyperlink" Target="http://10.62.231.12:3000/index.php?option=com_jdownloads&amp;Itemid=53&amp;view=finish&amp;cid=11232&amp;catid=210" TargetMode="External"/><Relationship Id="rId139" Type="http://schemas.openxmlformats.org/officeDocument/2006/relationships/hyperlink" Target="http://10.62.231.12:3000/index.php?option=com_jdownloads&amp;Itemid=53&amp;view=finish&amp;cid=11245&amp;catid=221" TargetMode="External"/><Relationship Id="rId290" Type="http://schemas.openxmlformats.org/officeDocument/2006/relationships/hyperlink" Target="mailto:binti.s@jai.co.id" TargetMode="External"/><Relationship Id="rId304" Type="http://schemas.openxmlformats.org/officeDocument/2006/relationships/hyperlink" Target="mailto:andik.e@jai.co.id" TargetMode="External"/><Relationship Id="rId346" Type="http://schemas.openxmlformats.org/officeDocument/2006/relationships/hyperlink" Target="mailto:endang.s@jai.co.id" TargetMode="External"/><Relationship Id="rId85" Type="http://schemas.openxmlformats.org/officeDocument/2006/relationships/hyperlink" Target="http://10.62.231.12:3000/index.php?option=com_jdownloads&amp;Itemid=53&amp;view=finish&amp;cid=14908&amp;catid=216" TargetMode="External"/><Relationship Id="rId150" Type="http://schemas.openxmlformats.org/officeDocument/2006/relationships/hyperlink" Target="http://10.62.231.12:3000/index.php?option=com_jdownloads&amp;Itemid=53&amp;view=finish&amp;cid=12955&amp;catid=219" TargetMode="External"/><Relationship Id="rId192" Type="http://schemas.openxmlformats.org/officeDocument/2006/relationships/hyperlink" Target="http://10.62.231.12:3000/index.php?option=com_jdownloads&amp;Itemid=53&amp;view=finish&amp;cid=11148&amp;catid=223" TargetMode="External"/><Relationship Id="rId206" Type="http://schemas.openxmlformats.org/officeDocument/2006/relationships/hyperlink" Target="http://10.62.231.12:3000/index.php?option=com_jdownloads&amp;Itemid=53&amp;view=finish&amp;cid=11253&amp;catid=224" TargetMode="External"/><Relationship Id="rId248" Type="http://schemas.openxmlformats.org/officeDocument/2006/relationships/hyperlink" Target="http://10.62.231.12:3000/index.php?option=com_jdownloads&amp;Itemid=53&amp;view=finish&amp;cid=12634&amp;catid=229" TargetMode="External"/><Relationship Id="rId12" Type="http://schemas.openxmlformats.org/officeDocument/2006/relationships/hyperlink" Target="http://10.62.231.12:3000/index.php?option=com_jdownloads&amp;Itemid=53&amp;view=finish&amp;cid=12436&amp;catid=206" TargetMode="External"/><Relationship Id="rId108" Type="http://schemas.openxmlformats.org/officeDocument/2006/relationships/hyperlink" Target="http://10.62.231.12:3000/index.php?option=com_jdownloads&amp;Itemid=53&amp;view=finish&amp;cid=12523&amp;catid=218" TargetMode="External"/><Relationship Id="rId315" Type="http://schemas.openxmlformats.org/officeDocument/2006/relationships/hyperlink" Target="mailto:andik.e@jai.co.id" TargetMode="External"/><Relationship Id="rId357" Type="http://schemas.openxmlformats.org/officeDocument/2006/relationships/hyperlink" Target="mailto:cahyo@jai.co.id" TargetMode="External"/><Relationship Id="rId54" Type="http://schemas.openxmlformats.org/officeDocument/2006/relationships/hyperlink" Target="http://10.62.231.12:3000/index.php?option=com_jdownloads&amp;Itemid=53&amp;view=finish&amp;cid=11328&amp;catid=210" TargetMode="External"/><Relationship Id="rId96" Type="http://schemas.openxmlformats.org/officeDocument/2006/relationships/hyperlink" Target="http://10.62.231.12:3000/index.php?option=com_jdownloads&amp;Itemid=53&amp;view=finish&amp;cid=14680&amp;catid=217" TargetMode="External"/><Relationship Id="rId161" Type="http://schemas.openxmlformats.org/officeDocument/2006/relationships/hyperlink" Target="http://10.62.231.12:3000/index.php?option=com_jdownloads&amp;Itemid=53&amp;view=finish&amp;cid=11221&amp;catid=221" TargetMode="External"/><Relationship Id="rId217" Type="http://schemas.openxmlformats.org/officeDocument/2006/relationships/hyperlink" Target="http://10.62.231.12:3000/index.php?option=com_jdownloads&amp;Itemid=53&amp;view=finish&amp;cid=11160&amp;catid=227" TargetMode="External"/><Relationship Id="rId259" Type="http://schemas.openxmlformats.org/officeDocument/2006/relationships/hyperlink" Target="mailto:evaningsih@jai.co.id" TargetMode="External"/><Relationship Id="rId23" Type="http://schemas.openxmlformats.org/officeDocument/2006/relationships/hyperlink" Target="http://10.62.231.12:3000/index.php?option=com_jdownloads&amp;Itemid=53&amp;view=finish&amp;cid=11292&amp;catid=208" TargetMode="External"/><Relationship Id="rId119" Type="http://schemas.openxmlformats.org/officeDocument/2006/relationships/hyperlink" Target="http://10.62.231.12:3000/index.php?option=com_jdownloads&amp;Itemid=53&amp;view=finish&amp;cid=14906&amp;catid=219" TargetMode="External"/><Relationship Id="rId270" Type="http://schemas.openxmlformats.org/officeDocument/2006/relationships/hyperlink" Target="mailto:endang.s@jai.co.id" TargetMode="External"/><Relationship Id="rId326" Type="http://schemas.openxmlformats.org/officeDocument/2006/relationships/hyperlink" Target="mailto:yachrul.h@jai.co.id," TargetMode="External"/><Relationship Id="rId65" Type="http://schemas.openxmlformats.org/officeDocument/2006/relationships/hyperlink" Target="http://10.62.231.12:3000/index.php?option=com_jdownloads&amp;Itemid=53&amp;view=finish&amp;cid=11172&amp;catid=215" TargetMode="External"/><Relationship Id="rId130" Type="http://schemas.openxmlformats.org/officeDocument/2006/relationships/hyperlink" Target="http://10.62.231.12:3000/index.php?option=com_jdownloads&amp;Itemid=53&amp;view=finish&amp;cid=12577&amp;catid=219" TargetMode="External"/><Relationship Id="rId172" Type="http://schemas.openxmlformats.org/officeDocument/2006/relationships/hyperlink" Target="http://10.62.231.12:3000/index.php?option=com_jdownloads&amp;Itemid=53&amp;view=finish&amp;cid=12510&amp;catid=221" TargetMode="External"/><Relationship Id="rId228" Type="http://schemas.openxmlformats.org/officeDocument/2006/relationships/hyperlink" Target="http://10.62.231.12:3000/index.php?option=com_jdownloads&amp;Itemid=53&amp;view=finish&amp;cid=11084&amp;catid=228" TargetMode="External"/><Relationship Id="rId281" Type="http://schemas.openxmlformats.org/officeDocument/2006/relationships/hyperlink" Target="mailto:endang.s@jai.co.id" TargetMode="External"/><Relationship Id="rId337" Type="http://schemas.openxmlformats.org/officeDocument/2006/relationships/hyperlink" Target="mailto:andik.e@jai.co.id" TargetMode="External"/><Relationship Id="rId34" Type="http://schemas.openxmlformats.org/officeDocument/2006/relationships/hyperlink" Target="http://intrajai:3000/index.php?option=com_jdownloads&amp;Itemid=53&amp;view=finish&amp;cid=2398&amp;catid=214" TargetMode="External"/><Relationship Id="rId76" Type="http://schemas.openxmlformats.org/officeDocument/2006/relationships/hyperlink" Target="http://intrajai:3000/index.php?option=com_jdownloads&amp;Itemid=53&amp;view=finish&amp;cid=3539&amp;catid=208" TargetMode="External"/><Relationship Id="rId141" Type="http://schemas.openxmlformats.org/officeDocument/2006/relationships/hyperlink" Target="http://10.62.231.12:3000/index.php?option=com_jdownloads&amp;Itemid=53&amp;view=finish&amp;cid=11289&amp;catid=221" TargetMode="External"/><Relationship Id="rId7" Type="http://schemas.openxmlformats.org/officeDocument/2006/relationships/hyperlink" Target="http://10.62.231.12:3000/index.php?option=com_jdownloads&amp;Itemid=53&amp;view=finish&amp;cid=11128&amp;catid=205" TargetMode="External"/><Relationship Id="rId183" Type="http://schemas.openxmlformats.org/officeDocument/2006/relationships/hyperlink" Target="http://10.62.231.12:3000/index.php?option=com_jdownloads&amp;Itemid=53&amp;view=finish&amp;cid=14963&amp;catid=222" TargetMode="External"/><Relationship Id="rId239" Type="http://schemas.openxmlformats.org/officeDocument/2006/relationships/hyperlink" Target="http://10.62.231.12:3000/index.php?option=com_jdownloads&amp;Itemid=53&amp;view=finish&amp;cid=12573&amp;catid=228" TargetMode="External"/><Relationship Id="rId250" Type="http://schemas.openxmlformats.org/officeDocument/2006/relationships/hyperlink" Target="http://10.62.231.12:3000/index.php?option=com_jdownloads&amp;Itemid=53&amp;view=finish&amp;cid=12619&amp;catid=230" TargetMode="External"/><Relationship Id="rId292" Type="http://schemas.openxmlformats.org/officeDocument/2006/relationships/hyperlink" Target="mailto:ferry.i@jai.co.id," TargetMode="External"/><Relationship Id="rId306" Type="http://schemas.openxmlformats.org/officeDocument/2006/relationships/hyperlink" Target="mailto:andik.e@jai.co.id" TargetMode="External"/><Relationship Id="rId45" Type="http://schemas.openxmlformats.org/officeDocument/2006/relationships/hyperlink" Target="http://10.62.231.12:3000/index.php?option=com_jdownloads&amp;Itemid=53&amp;view=finish&amp;cid=11266&amp;catid=210" TargetMode="External"/><Relationship Id="rId87" Type="http://schemas.openxmlformats.org/officeDocument/2006/relationships/hyperlink" Target="http://10.62.231.12:3000/index.php?option=com_jdownloads&amp;Itemid=53&amp;view=finish&amp;cid=11134&amp;catid=216" TargetMode="External"/><Relationship Id="rId110" Type="http://schemas.openxmlformats.org/officeDocument/2006/relationships/hyperlink" Target="http://10.62.231.12:3000/index.php?option=com_jdownloads&amp;Itemid=53&amp;view=finish&amp;cid=11284&amp;catid=218" TargetMode="External"/><Relationship Id="rId348" Type="http://schemas.openxmlformats.org/officeDocument/2006/relationships/hyperlink" Target="mailto:endang.s@jai.co.id" TargetMode="External"/><Relationship Id="rId152" Type="http://schemas.openxmlformats.org/officeDocument/2006/relationships/hyperlink" Target="http://10.62.231.12:3000/index.php?option=com_jdownloads&amp;Itemid=53&amp;view=finish&amp;cid=12576&amp;catid=221" TargetMode="External"/><Relationship Id="rId194" Type="http://schemas.openxmlformats.org/officeDocument/2006/relationships/hyperlink" Target="http://10.62.231.12:3000/index.php?option=com_jdownloads&amp;Itemid=53&amp;view=finish&amp;cid=11224&amp;catid=223" TargetMode="External"/><Relationship Id="rId208" Type="http://schemas.openxmlformats.org/officeDocument/2006/relationships/hyperlink" Target="http://10.62.231.12:3000/index.php?option=com_jdownloads&amp;Itemid=53&amp;view=finish&amp;cid=14564&amp;catid=227" TargetMode="External"/><Relationship Id="rId261" Type="http://schemas.openxmlformats.org/officeDocument/2006/relationships/hyperlink" Target="mailto:dedi.k@jai.co.id" TargetMode="External"/><Relationship Id="rId14" Type="http://schemas.openxmlformats.org/officeDocument/2006/relationships/hyperlink" Target="http://10.62.231.12:3000/index.php?option=com_jdownloads&amp;Itemid=53&amp;view=finish&amp;cid=11139&amp;catid=206" TargetMode="External"/><Relationship Id="rId56" Type="http://schemas.openxmlformats.org/officeDocument/2006/relationships/hyperlink" Target="http://10.62.231.12:3000/index.php?option=com_jdownloads&amp;Itemid=53&amp;view=finish&amp;cid=11436&amp;catid=210" TargetMode="External"/><Relationship Id="rId317" Type="http://schemas.openxmlformats.org/officeDocument/2006/relationships/hyperlink" Target="mailto:andik.e@jai.co.id" TargetMode="External"/><Relationship Id="rId359" Type="http://schemas.openxmlformats.org/officeDocument/2006/relationships/hyperlink" Target="mailto:cahyo@jai.co.id" TargetMode="External"/><Relationship Id="rId98" Type="http://schemas.openxmlformats.org/officeDocument/2006/relationships/hyperlink" Target="http://10.62.231.12:3000/index.php?option=com_jdownloads&amp;Itemid=53&amp;view=finish&amp;cid=11239&amp;catid=217" TargetMode="External"/><Relationship Id="rId121" Type="http://schemas.openxmlformats.org/officeDocument/2006/relationships/hyperlink" Target="http://10.62.231.12:3000/index.php?option=com_jdownloads&amp;Itemid=53&amp;view=finish&amp;cid=12403&amp;catid=219" TargetMode="External"/><Relationship Id="rId163" Type="http://schemas.openxmlformats.org/officeDocument/2006/relationships/hyperlink" Target="http://10.62.231.12:3000/index.php?option=com_jdownloads&amp;Itemid=53&amp;view=finish&amp;cid=8796&amp;catid=221" TargetMode="External"/><Relationship Id="rId219" Type="http://schemas.openxmlformats.org/officeDocument/2006/relationships/hyperlink" Target="http://10.62.231.12:3000/index.php?option=com_jdownloads&amp;Itemid=53&amp;view=finish&amp;cid=11294&amp;catid=227" TargetMode="External"/><Relationship Id="rId230" Type="http://schemas.openxmlformats.org/officeDocument/2006/relationships/hyperlink" Target="http://10.62.231.12:3000/index.php?option=com_jdownloads&amp;Itemid=53&amp;view=finish&amp;cid=12365&amp;catid=228" TargetMode="External"/><Relationship Id="rId25" Type="http://schemas.openxmlformats.org/officeDocument/2006/relationships/hyperlink" Target="http://10.62.231.12:3000/index.php?option=com_jdownloads&amp;Itemid=53&amp;view=finish&amp;cid=6824&amp;catid=210" TargetMode="External"/><Relationship Id="rId67" Type="http://schemas.openxmlformats.org/officeDocument/2006/relationships/hyperlink" Target="http://10.62.231.12:3000/index.php?option=com_jdownloads&amp;Itemid=53&amp;view=finish&amp;cid=11186&amp;catid=215" TargetMode="External"/><Relationship Id="rId272" Type="http://schemas.openxmlformats.org/officeDocument/2006/relationships/hyperlink" Target="mailto:endang.s@jai.co.id" TargetMode="External"/><Relationship Id="rId328" Type="http://schemas.openxmlformats.org/officeDocument/2006/relationships/hyperlink" Target="mailto:andik.e@jai.co.id" TargetMode="External"/><Relationship Id="rId132" Type="http://schemas.openxmlformats.org/officeDocument/2006/relationships/hyperlink" Target="http://10.62.231.12:3000/index.php?option=com_jdownloads&amp;Itemid=53&amp;view=finish&amp;cid=12408&amp;catid=219" TargetMode="External"/><Relationship Id="rId174" Type="http://schemas.openxmlformats.org/officeDocument/2006/relationships/hyperlink" Target="http://intrajai:3000/index.php?option=com_jdownloads&amp;Itemid=53&amp;view=finish&amp;cid=5887&amp;catid=222" TargetMode="External"/><Relationship Id="rId220" Type="http://schemas.openxmlformats.org/officeDocument/2006/relationships/hyperlink" Target="http://10.62.231.12:3000/index.php?option=com_jdownloads&amp;Itemid=53&amp;view=finish&amp;cid=12883&amp;catid=228" TargetMode="External"/><Relationship Id="rId241" Type="http://schemas.openxmlformats.org/officeDocument/2006/relationships/hyperlink" Target="http://10.62.231.12:3000/index.php?option=com_jdownloads&amp;Itemid=53&amp;view=finish&amp;cid=14847&amp;catid=229" TargetMode="External"/><Relationship Id="rId15" Type="http://schemas.openxmlformats.org/officeDocument/2006/relationships/hyperlink" Target="http://10.62.231.12:3000/index.php?option=com_jdownloads&amp;Itemid=53&amp;view=finish&amp;cid=11286&amp;catid=206" TargetMode="External"/><Relationship Id="rId36" Type="http://schemas.openxmlformats.org/officeDocument/2006/relationships/hyperlink" Target="http://10.62.231.12:3000/index.php?option=com_jdownloads&amp;Itemid=53&amp;view=finish&amp;cid=9401&amp;catid=214" TargetMode="External"/><Relationship Id="rId57" Type="http://schemas.openxmlformats.org/officeDocument/2006/relationships/hyperlink" Target="http://10.62.231.12:3000/index.php?option=com_jdownloads&amp;Itemid=53&amp;view=finish&amp;cid=12406&amp;catid=210" TargetMode="External"/><Relationship Id="rId262" Type="http://schemas.openxmlformats.org/officeDocument/2006/relationships/hyperlink" Target="mailto:dedi.k@jai.co.id" TargetMode="External"/><Relationship Id="rId283" Type="http://schemas.openxmlformats.org/officeDocument/2006/relationships/hyperlink" Target="mailto:endang.s@jai.co.id" TargetMode="External"/><Relationship Id="rId318" Type="http://schemas.openxmlformats.org/officeDocument/2006/relationships/hyperlink" Target="mailto:andik.e@jai.co.id" TargetMode="External"/><Relationship Id="rId339" Type="http://schemas.openxmlformats.org/officeDocument/2006/relationships/hyperlink" Target="mailto:andik.e@jai.co.id" TargetMode="External"/><Relationship Id="rId78" Type="http://schemas.openxmlformats.org/officeDocument/2006/relationships/hyperlink" Target="http://10.62.231.12:3000/index.php?option=com_jdownloads&amp;Itemid=53&amp;view=finish&amp;cid=11051&amp;catid=215" TargetMode="External"/><Relationship Id="rId99" Type="http://schemas.openxmlformats.org/officeDocument/2006/relationships/hyperlink" Target="http://10.62.231.12:3000/index.php?option=com_jdownloads&amp;Itemid=53&amp;view=finish&amp;cid=14841&amp;catid=218" TargetMode="External"/><Relationship Id="rId101" Type="http://schemas.openxmlformats.org/officeDocument/2006/relationships/hyperlink" Target="http://10.62.231.12:3000/index.php?option=com_jdownloads&amp;Itemid=53&amp;view=finish&amp;cid=11163&amp;catid=218" TargetMode="External"/><Relationship Id="rId122" Type="http://schemas.openxmlformats.org/officeDocument/2006/relationships/hyperlink" Target="http://10.62.231.12:3000/index.php?option=com_jdownloads&amp;Itemid=53&amp;view=finish&amp;cid=12404&amp;catid=219" TargetMode="External"/><Relationship Id="rId143" Type="http://schemas.openxmlformats.org/officeDocument/2006/relationships/hyperlink" Target="http://10.62.231.12:3000/index.php?option=com_jdownloads&amp;Itemid=53&amp;view=finish&amp;cid=11481&amp;catid=221" TargetMode="External"/><Relationship Id="rId164" Type="http://schemas.openxmlformats.org/officeDocument/2006/relationships/hyperlink" Target="http://10.62.231.12:3000/index.php?option=com_jdownloads&amp;Itemid=53&amp;view=finish&amp;cid=11249&amp;catid=221" TargetMode="External"/><Relationship Id="rId185" Type="http://schemas.openxmlformats.org/officeDocument/2006/relationships/hyperlink" Target="http://10.62.231.12:3000/index.php?option=com_jdownloads&amp;Itemid=53&amp;view=finish&amp;cid=12442&amp;catid=222" TargetMode="External"/><Relationship Id="rId350" Type="http://schemas.openxmlformats.org/officeDocument/2006/relationships/hyperlink" Target="mailto:andik.e@jai.co.id" TargetMode="External"/><Relationship Id="rId9" Type="http://schemas.openxmlformats.org/officeDocument/2006/relationships/hyperlink" Target="http://10.62.231.12:3000/index.php?option=com_jdownloads&amp;Itemid=53&amp;view=finish&amp;cid=11136&amp;catid=206" TargetMode="External"/><Relationship Id="rId210" Type="http://schemas.openxmlformats.org/officeDocument/2006/relationships/hyperlink" Target="http://10.62.231.12:3000/index.php?option=com_jdownloads&amp;Itemid=53&amp;view=finish&amp;cid=12964&amp;catid=227" TargetMode="External"/><Relationship Id="rId26" Type="http://schemas.openxmlformats.org/officeDocument/2006/relationships/hyperlink" Target="http://10.62.231.12:3000/index.php?option=com_jdownloads&amp;Itemid=53&amp;view=finish&amp;cid=11256&amp;catid=210" TargetMode="External"/><Relationship Id="rId231" Type="http://schemas.openxmlformats.org/officeDocument/2006/relationships/hyperlink" Target="http://10.62.231.12:3000/index.php?option=com_jdownloads&amp;Itemid=53&amp;view=finish&amp;cid=12411&amp;catid=228" TargetMode="External"/><Relationship Id="rId252" Type="http://schemas.openxmlformats.org/officeDocument/2006/relationships/hyperlink" Target="http://10.62.231.12:3000/index.php?option=com_jdownloads&amp;Itemid=53&amp;view=finish&amp;cid=14909&amp;catid=230" TargetMode="External"/><Relationship Id="rId273" Type="http://schemas.openxmlformats.org/officeDocument/2006/relationships/hyperlink" Target="mailto:endang.s@jai.co.id" TargetMode="External"/><Relationship Id="rId294" Type="http://schemas.openxmlformats.org/officeDocument/2006/relationships/hyperlink" Target="mailto:ferry.i@jai.co.id," TargetMode="External"/><Relationship Id="rId308" Type="http://schemas.openxmlformats.org/officeDocument/2006/relationships/hyperlink" Target="mailto:andik.e@jai.co.id" TargetMode="External"/><Relationship Id="rId329" Type="http://schemas.openxmlformats.org/officeDocument/2006/relationships/hyperlink" Target="mailto:andik.e@jai.co.id" TargetMode="External"/><Relationship Id="rId47" Type="http://schemas.openxmlformats.org/officeDocument/2006/relationships/hyperlink" Target="http://10.62.231.12:3000/index.php?option=com_jdownloads&amp;Itemid=53&amp;view=finish&amp;cid=11268&amp;catid=210" TargetMode="External"/><Relationship Id="rId68" Type="http://schemas.openxmlformats.org/officeDocument/2006/relationships/hyperlink" Target="http://10.62.231.12:3000/index.php?option=com_jdownloads&amp;Itemid=53&amp;view=finish&amp;cid=11295&amp;catid=214" TargetMode="External"/><Relationship Id="rId89" Type="http://schemas.openxmlformats.org/officeDocument/2006/relationships/hyperlink" Target="http://10.62.231.12:3000/index.php?option=com_jdownloads&amp;Itemid=53&amp;view=finish&amp;cid=11234&amp;catid=217" TargetMode="External"/><Relationship Id="rId112" Type="http://schemas.openxmlformats.org/officeDocument/2006/relationships/hyperlink" Target="http://10.62.231.12:3000/index.php?option=com_jdownloads&amp;Itemid=53&amp;view=finish&amp;cid=14812&amp;catid=218" TargetMode="External"/><Relationship Id="rId133" Type="http://schemas.openxmlformats.org/officeDocument/2006/relationships/hyperlink" Target="http://intrajai:3000/index.php?option=com_jdownloads&amp;Itemid=53&amp;view=finish&amp;cid=3901&amp;catid=221" TargetMode="External"/><Relationship Id="rId154" Type="http://schemas.openxmlformats.org/officeDocument/2006/relationships/hyperlink" Target="http://10.62.231.12:3000/index.php?option=com_jdownloads&amp;Itemid=53&amp;view=finish&amp;cid=14811&amp;catid=219" TargetMode="External"/><Relationship Id="rId175" Type="http://schemas.openxmlformats.org/officeDocument/2006/relationships/hyperlink" Target="http://10.62.231.12:3000/index.php?option=com_jdownloads&amp;Itemid=53&amp;view=finish&amp;cid=11141&amp;catid=222" TargetMode="External"/><Relationship Id="rId340" Type="http://schemas.openxmlformats.org/officeDocument/2006/relationships/hyperlink" Target="mailto:endang.s@jai.co.id" TargetMode="External"/><Relationship Id="rId361" Type="http://schemas.openxmlformats.org/officeDocument/2006/relationships/hyperlink" Target="mailto:dedy.h@jai.co.id" TargetMode="External"/><Relationship Id="rId196" Type="http://schemas.openxmlformats.org/officeDocument/2006/relationships/hyperlink" Target="http://10.62.231.12:3000/index.php?option=com_jdownloads&amp;Itemid=53&amp;view=finish&amp;cid=11226&amp;catid=224" TargetMode="External"/><Relationship Id="rId200" Type="http://schemas.openxmlformats.org/officeDocument/2006/relationships/hyperlink" Target="http://10.62.231.12:3000/index.php?option=com_jdownloads&amp;Itemid=53&amp;view=finish&amp;cid=12885&amp;catid=223" TargetMode="External"/><Relationship Id="rId16" Type="http://schemas.openxmlformats.org/officeDocument/2006/relationships/hyperlink" Target="http://10.62.231.12:3000/index.php?option=com_jdownloads&amp;Itemid=53&amp;view=finish&amp;cid=11296&amp;catid=206" TargetMode="External"/><Relationship Id="rId221" Type="http://schemas.openxmlformats.org/officeDocument/2006/relationships/hyperlink" Target="http://10.62.231.12:3000/index.php?option=com_jdownloads&amp;Itemid=53&amp;view=finish&amp;cid=12961&amp;catid=227" TargetMode="External"/><Relationship Id="rId242" Type="http://schemas.openxmlformats.org/officeDocument/2006/relationships/hyperlink" Target="http://10.62.231.12:3000/index.php?option=com_jdownloads&amp;Itemid=53&amp;view=finish&amp;cid=14970&amp;catid=229" TargetMode="External"/><Relationship Id="rId263" Type="http://schemas.openxmlformats.org/officeDocument/2006/relationships/hyperlink" Target="mailto:dedi.k@jai.co.id" TargetMode="External"/><Relationship Id="rId284" Type="http://schemas.openxmlformats.org/officeDocument/2006/relationships/hyperlink" Target="mailto:binti.s@jai.co.id" TargetMode="External"/><Relationship Id="rId319" Type="http://schemas.openxmlformats.org/officeDocument/2006/relationships/hyperlink" Target="mailto:andik.e@jai.co.id" TargetMode="External"/><Relationship Id="rId37" Type="http://schemas.openxmlformats.org/officeDocument/2006/relationships/hyperlink" Target="http://10.62.231.12:3000/index.php?option=com_jdownloads&amp;Itemid=53&amp;view=finish&amp;cid=10531&amp;catid=214" TargetMode="External"/><Relationship Id="rId58" Type="http://schemas.openxmlformats.org/officeDocument/2006/relationships/hyperlink" Target="http://10.62.231.12:3000/index.php?option=com_jdownloads&amp;Itemid=53&amp;view=finish&amp;cid=12962&amp;catid=210" TargetMode="External"/><Relationship Id="rId79" Type="http://schemas.openxmlformats.org/officeDocument/2006/relationships/hyperlink" Target="http://10.62.231.12:3000/index.php?option=com_jdownloads&amp;Itemid=53&amp;view=finish&amp;cid=11177&amp;catid=215" TargetMode="External"/><Relationship Id="rId102" Type="http://schemas.openxmlformats.org/officeDocument/2006/relationships/hyperlink" Target="http://10.62.231.12:3000/index.php?option=com_jdownloads&amp;Itemid=53&amp;view=finish&amp;cid=10809&amp;catid=218" TargetMode="External"/><Relationship Id="rId123" Type="http://schemas.openxmlformats.org/officeDocument/2006/relationships/hyperlink" Target="http://10.62.231.12:3000/index.php?option=com_jdownloads&amp;Itemid=53&amp;view=finish&amp;cid=11165&amp;catid=219" TargetMode="External"/><Relationship Id="rId144" Type="http://schemas.openxmlformats.org/officeDocument/2006/relationships/hyperlink" Target="http://10.62.231.12:3000/index.php?option=com_jdownloads&amp;Itemid=53&amp;view=finish&amp;cid=12357&amp;catid=219" TargetMode="External"/><Relationship Id="rId330" Type="http://schemas.openxmlformats.org/officeDocument/2006/relationships/hyperlink" Target="mailto:andik.e@jai.co.id" TargetMode="External"/><Relationship Id="rId90" Type="http://schemas.openxmlformats.org/officeDocument/2006/relationships/hyperlink" Target="http://10.62.231.12:3000/index.php?option=com_jdownloads&amp;Itemid=53&amp;view=finish&amp;cid=11235&amp;catid=217" TargetMode="External"/><Relationship Id="rId165" Type="http://schemas.openxmlformats.org/officeDocument/2006/relationships/hyperlink" Target="http://10.62.231.12:3000/index.php?option=com_jdownloads&amp;Itemid=53&amp;view=finish&amp;cid=11250&amp;catid=221" TargetMode="External"/><Relationship Id="rId186" Type="http://schemas.openxmlformats.org/officeDocument/2006/relationships/hyperlink" Target="http://10.62.231.12:3000/index.php?option=com_jdownloads&amp;Itemid=53&amp;view=finish&amp;cid=11142&amp;catid=223" TargetMode="External"/><Relationship Id="rId351" Type="http://schemas.openxmlformats.org/officeDocument/2006/relationships/hyperlink" Target="mailto:andik.e@jai.co.id" TargetMode="External"/><Relationship Id="rId211" Type="http://schemas.openxmlformats.org/officeDocument/2006/relationships/hyperlink" Target="http://10.62.231.12:3000/index.php?option=com_jdownloads&amp;Itemid=53&amp;view=finish&amp;cid=12160&amp;catid=227" TargetMode="External"/><Relationship Id="rId232" Type="http://schemas.openxmlformats.org/officeDocument/2006/relationships/hyperlink" Target="http://10.62.231.12:3000/index.php?option=com_jdownloads&amp;Itemid=53&amp;view=finish&amp;cid=11028&amp;catid=228" TargetMode="External"/><Relationship Id="rId253" Type="http://schemas.openxmlformats.org/officeDocument/2006/relationships/hyperlink" Target="mailto:david.a@jai.co.id" TargetMode="External"/><Relationship Id="rId274" Type="http://schemas.openxmlformats.org/officeDocument/2006/relationships/hyperlink" Target="mailto:endang.s@jai.co.id" TargetMode="External"/><Relationship Id="rId295" Type="http://schemas.openxmlformats.org/officeDocument/2006/relationships/hyperlink" Target="mailto:ferry.i@jai.co.id," TargetMode="External"/><Relationship Id="rId309" Type="http://schemas.openxmlformats.org/officeDocument/2006/relationships/hyperlink" Target="mailto:andik.e@jai.co.id" TargetMode="External"/><Relationship Id="rId27" Type="http://schemas.openxmlformats.org/officeDocument/2006/relationships/hyperlink" Target="http://10.62.231.12:3000/index.php?option=com_jdownloads&amp;Itemid=53&amp;view=finish&amp;cid=11274&amp;catid=210" TargetMode="External"/><Relationship Id="rId48" Type="http://schemas.openxmlformats.org/officeDocument/2006/relationships/hyperlink" Target="http://10.62.231.12:3000/index.php?option=com_jdownloads&amp;Itemid=53&amp;view=finish&amp;cid=11269&amp;catid=210" TargetMode="External"/><Relationship Id="rId69" Type="http://schemas.openxmlformats.org/officeDocument/2006/relationships/hyperlink" Target="http://10.62.231.12:3000/index.php?option=com_jdownloads&amp;Itemid=53&amp;view=finish&amp;cid=14567&amp;catid=214" TargetMode="External"/><Relationship Id="rId113" Type="http://schemas.openxmlformats.org/officeDocument/2006/relationships/hyperlink" Target="http://10.62.231.12:3000/index.php?option=com_jdownloads&amp;Itemid=53&amp;view=finish&amp;cid=14822&amp;catid=218" TargetMode="External"/><Relationship Id="rId134" Type="http://schemas.openxmlformats.org/officeDocument/2006/relationships/hyperlink" Target="http://10.62.231.12:3000/index.php?option=com_jdownloads&amp;Itemid=53&amp;view=finish&amp;cid=11149&amp;catid=221" TargetMode="External"/><Relationship Id="rId320" Type="http://schemas.openxmlformats.org/officeDocument/2006/relationships/hyperlink" Target="mailto:andik.e@jai.co.id" TargetMode="External"/><Relationship Id="rId80" Type="http://schemas.openxmlformats.org/officeDocument/2006/relationships/hyperlink" Target="http://10.62.231.12:3000/index.php?option=com_jdownloads&amp;Itemid=53&amp;view=finish&amp;cid=11479&amp;catid=215" TargetMode="External"/><Relationship Id="rId155" Type="http://schemas.openxmlformats.org/officeDocument/2006/relationships/hyperlink" Target="http://10.62.231.12:3000/index.php?option=com_jdownloads&amp;Itemid=53&amp;view=finish&amp;cid=14834&amp;catid=219" TargetMode="External"/><Relationship Id="rId176" Type="http://schemas.openxmlformats.org/officeDocument/2006/relationships/hyperlink" Target="http://10.62.231.12:3000/index.php?option=com_jdownloads&amp;Itemid=53&amp;view=finish&amp;cid=12504&amp;catid=222" TargetMode="External"/><Relationship Id="rId197" Type="http://schemas.openxmlformats.org/officeDocument/2006/relationships/hyperlink" Target="http://10.62.231.12:3000/index.php?option=com_jdownloads&amp;Itemid=53&amp;view=finish&amp;cid=11291&amp;catid=223" TargetMode="External"/><Relationship Id="rId341" Type="http://schemas.openxmlformats.org/officeDocument/2006/relationships/hyperlink" Target="mailto:endang.s@jai.co.id" TargetMode="External"/><Relationship Id="rId362" Type="http://schemas.openxmlformats.org/officeDocument/2006/relationships/hyperlink" Target="mailto:dedy.h@jai.co.id" TargetMode="External"/><Relationship Id="rId201" Type="http://schemas.openxmlformats.org/officeDocument/2006/relationships/hyperlink" Target="http://10.62.231.12:3000/index.php?option=com_jdownloads&amp;Itemid=53&amp;view=finish&amp;cid=14745&amp;catid=224" TargetMode="External"/><Relationship Id="rId222" Type="http://schemas.openxmlformats.org/officeDocument/2006/relationships/hyperlink" Target="http://10.62.231.12:3000/index.php?option=com_jdownloads&amp;Itemid=53&amp;view=finish&amp;cid=12967&amp;catid=227" TargetMode="External"/><Relationship Id="rId243" Type="http://schemas.openxmlformats.org/officeDocument/2006/relationships/hyperlink" Target="http://10.62.231.12:3000/index.php?option=com_jdownloads&amp;Itemid=53&amp;view=finish&amp;cid=11183&amp;catid=230" TargetMode="External"/><Relationship Id="rId264" Type="http://schemas.openxmlformats.org/officeDocument/2006/relationships/hyperlink" Target="mailto:dedi.k@jai.co.id" TargetMode="External"/><Relationship Id="rId285" Type="http://schemas.openxmlformats.org/officeDocument/2006/relationships/hyperlink" Target="mailto:binti.s@jai.co.id" TargetMode="External"/><Relationship Id="rId17" Type="http://schemas.openxmlformats.org/officeDocument/2006/relationships/hyperlink" Target="http://10.62.231.12:3000/index.php?option=com_jdownloads&amp;Itemid=53&amp;view=finish&amp;cid=12443&amp;catid=206" TargetMode="External"/><Relationship Id="rId38" Type="http://schemas.openxmlformats.org/officeDocument/2006/relationships/hyperlink" Target="http://10.62.231.12:3000/index.php?option=com_jdownloads&amp;Itemid=53&amp;view=finish&amp;cid=10532&amp;catid=214" TargetMode="External"/><Relationship Id="rId59" Type="http://schemas.openxmlformats.org/officeDocument/2006/relationships/hyperlink" Target="http://intrajai:3000/index.php?option=com_jdownloads&amp;Itemid=53&amp;view=finish&amp;cid=12609&amp;catid=210" TargetMode="External"/><Relationship Id="rId103" Type="http://schemas.openxmlformats.org/officeDocument/2006/relationships/hyperlink" Target="http://10.62.231.12:3000/index.php?option=com_jdownloads&amp;Itemid=53&amp;view=finish&amp;cid=11164&amp;catid=218" TargetMode="External"/><Relationship Id="rId124" Type="http://schemas.openxmlformats.org/officeDocument/2006/relationships/hyperlink" Target="http://10.62.231.12:3000/index.php?option=com_jdownloads&amp;Itemid=53&amp;view=finish&amp;cid=14833&amp;catid=219" TargetMode="External"/><Relationship Id="rId310" Type="http://schemas.openxmlformats.org/officeDocument/2006/relationships/hyperlink" Target="mailto:andik.e@jai.co.id" TargetMode="External"/><Relationship Id="rId70" Type="http://schemas.openxmlformats.org/officeDocument/2006/relationships/hyperlink" Target="http://10.62.231.12:3000/index.php?option=com_jdownloads&amp;Itemid=53&amp;view=finish&amp;cid=14602&amp;catid=214" TargetMode="External"/><Relationship Id="rId91" Type="http://schemas.openxmlformats.org/officeDocument/2006/relationships/hyperlink" Target="http://10.62.231.12:3000/index.php?option=com_jdownloads&amp;Itemid=53&amp;view=finish&amp;cid=11237&amp;catid=217" TargetMode="External"/><Relationship Id="rId145" Type="http://schemas.openxmlformats.org/officeDocument/2006/relationships/hyperlink" Target="http://10.62.231.12:3000/index.php?option=com_jdownloads&amp;Itemid=53&amp;view=finish&amp;cid=12363&amp;catid=221" TargetMode="External"/><Relationship Id="rId166" Type="http://schemas.openxmlformats.org/officeDocument/2006/relationships/hyperlink" Target="http://10.62.231.12:3000/index.php?option=com_jdownloads&amp;Itemid=53&amp;view=finish&amp;cid=12157&amp;catid=221" TargetMode="External"/><Relationship Id="rId187" Type="http://schemas.openxmlformats.org/officeDocument/2006/relationships/hyperlink" Target="http://10.62.231.12:3000/index.php?option=com_jdownloads&amp;Itemid=53&amp;view=finish&amp;cid=11143&amp;catid=223" TargetMode="External"/><Relationship Id="rId331" Type="http://schemas.openxmlformats.org/officeDocument/2006/relationships/hyperlink" Target="mailto:andik.e@jai.co.id" TargetMode="External"/><Relationship Id="rId352" Type="http://schemas.openxmlformats.org/officeDocument/2006/relationships/hyperlink" Target="mailto:hayu.p@jai.co.id" TargetMode="External"/><Relationship Id="rId1" Type="http://schemas.openxmlformats.org/officeDocument/2006/relationships/hyperlink" Target="http://10.62.231.12:3000/index.php?option=com_jdownloads&amp;Itemid=53&amp;view=finish&amp;cid=11135&amp;catid=204" TargetMode="External"/><Relationship Id="rId212" Type="http://schemas.openxmlformats.org/officeDocument/2006/relationships/hyperlink" Target="http://10.62.231.12:3000/index.php?option=com_jdownloads&amp;Itemid=53&amp;view=finish&amp;cid=12970&amp;catid=227" TargetMode="External"/><Relationship Id="rId233" Type="http://schemas.openxmlformats.org/officeDocument/2006/relationships/hyperlink" Target="http://10.62.231.12:3000/index.php?option=com_jdownloads&amp;Itemid=53&amp;view=finish&amp;cid=11085&amp;catid=229" TargetMode="External"/><Relationship Id="rId254" Type="http://schemas.openxmlformats.org/officeDocument/2006/relationships/hyperlink" Target="mailto:david.a@jai.co.id" TargetMode="External"/><Relationship Id="rId28" Type="http://schemas.openxmlformats.org/officeDocument/2006/relationships/hyperlink" Target="http://10.62.231.12:3000/index.php?option=com_jdownloads&amp;Itemid=53&amp;view=finish&amp;cid=12651&amp;catid=210" TargetMode="External"/><Relationship Id="rId49" Type="http://schemas.openxmlformats.org/officeDocument/2006/relationships/hyperlink" Target="http://10.62.231.12:3000/index.php?option=com_jdownloads&amp;Itemid=53&amp;view=finish&amp;cid=11270&amp;catid=210" TargetMode="External"/><Relationship Id="rId114" Type="http://schemas.openxmlformats.org/officeDocument/2006/relationships/hyperlink" Target="http://10.62.231.12:3000/index.php?option=com_jdownloads&amp;Itemid=53&amp;view=finish&amp;cid=11305&amp;catid=218" TargetMode="External"/><Relationship Id="rId275" Type="http://schemas.openxmlformats.org/officeDocument/2006/relationships/hyperlink" Target="mailto:endang.s@jai.co.id" TargetMode="External"/><Relationship Id="rId296" Type="http://schemas.openxmlformats.org/officeDocument/2006/relationships/hyperlink" Target="mailto:ferry.i@jai.co.id," TargetMode="External"/><Relationship Id="rId300" Type="http://schemas.openxmlformats.org/officeDocument/2006/relationships/hyperlink" Target="mailto:andik.e@jai.co.id" TargetMode="External"/><Relationship Id="rId60" Type="http://schemas.openxmlformats.org/officeDocument/2006/relationships/hyperlink" Target="http://intrajai:3000/index.php?option=com_jdownloads&amp;Itemid=53&amp;view=finish&amp;cid=12595&amp;catid=210" TargetMode="External"/><Relationship Id="rId81" Type="http://schemas.openxmlformats.org/officeDocument/2006/relationships/hyperlink" Target="http://10.62.231.12:3000/index.php?option=com_jdownloads&amp;Itemid=53&amp;view=finish&amp;cid=12431&amp;catid=215" TargetMode="External"/><Relationship Id="rId135" Type="http://schemas.openxmlformats.org/officeDocument/2006/relationships/hyperlink" Target="http://10.62.231.12:3000/index.php?option=com_jdownloads&amp;Itemid=53&amp;view=finish&amp;cid=11241&amp;catid=221" TargetMode="External"/><Relationship Id="rId156" Type="http://schemas.openxmlformats.org/officeDocument/2006/relationships/hyperlink" Target="http://10.62.231.12:3000/index.php?option=com_jdownloads&amp;Itemid=53&amp;view=finish&amp;cid=14835&amp;catid=219" TargetMode="External"/><Relationship Id="rId177" Type="http://schemas.openxmlformats.org/officeDocument/2006/relationships/hyperlink" Target="http://10.62.231.12:3000/index.php?option=com_jdownloads&amp;Itemid=53&amp;view=finish&amp;cid=14922&amp;catid=222" TargetMode="External"/><Relationship Id="rId198" Type="http://schemas.openxmlformats.org/officeDocument/2006/relationships/hyperlink" Target="http://10.62.231.12:3000/index.php?option=com_jdownloads&amp;Itemid=53&amp;view=finish&amp;cid=12441&amp;catid=223" TargetMode="External"/><Relationship Id="rId321" Type="http://schemas.openxmlformats.org/officeDocument/2006/relationships/hyperlink" Target="mailto:andik.e@jai.co.id" TargetMode="External"/><Relationship Id="rId342" Type="http://schemas.openxmlformats.org/officeDocument/2006/relationships/hyperlink" Target="mailto:binti.s@jai.co.id" TargetMode="External"/><Relationship Id="rId363" Type="http://schemas.openxmlformats.org/officeDocument/2006/relationships/printerSettings" Target="../printerSettings/printerSettings2.bin"/><Relationship Id="rId202" Type="http://schemas.openxmlformats.org/officeDocument/2006/relationships/hyperlink" Target="http://10.62.231.12:3000/index.php?option=com_jdownloads&amp;Itemid=53&amp;view=finish&amp;cid=14869&amp;catid=223" TargetMode="External"/><Relationship Id="rId223" Type="http://schemas.openxmlformats.org/officeDocument/2006/relationships/hyperlink" Target="http://10.62.231.12:3000/index.php?option=com_jdownloads&amp;Itemid=53&amp;view=finish&amp;cid=14551&amp;catid=227" TargetMode="External"/><Relationship Id="rId244" Type="http://schemas.openxmlformats.org/officeDocument/2006/relationships/hyperlink" Target="http://10.62.231.12:3000/index.php?option=com_jdownloads&amp;Itemid=53&amp;view=finish&amp;cid=11229&amp;catid=229" TargetMode="External"/><Relationship Id="rId18" Type="http://schemas.openxmlformats.org/officeDocument/2006/relationships/hyperlink" Target="http://10.62.231.12:3000/index.php?option=com_jdownloads&amp;Itemid=53&amp;view=finish&amp;cid=11140&amp;catid=206" TargetMode="External"/><Relationship Id="rId39" Type="http://schemas.openxmlformats.org/officeDocument/2006/relationships/hyperlink" Target="http://10.62.231.12:3000/index.php?option=com_jdownloads&amp;Itemid=53&amp;view=finish&amp;cid=11170&amp;catid=210" TargetMode="External"/><Relationship Id="rId265" Type="http://schemas.openxmlformats.org/officeDocument/2006/relationships/hyperlink" Target="mailto:ira.a@jai.co.id" TargetMode="External"/><Relationship Id="rId286" Type="http://schemas.openxmlformats.org/officeDocument/2006/relationships/hyperlink" Target="mailto:binti.s@jai.co.id" TargetMode="External"/><Relationship Id="rId50" Type="http://schemas.openxmlformats.org/officeDocument/2006/relationships/hyperlink" Target="http://10.62.231.12:3000/index.php?option=com_jdownloads&amp;Itemid=53&amp;view=finish&amp;cid=11288&amp;catid=210" TargetMode="External"/><Relationship Id="rId104" Type="http://schemas.openxmlformats.org/officeDocument/2006/relationships/hyperlink" Target="http://10.62.231.12:3000/index.php?option=com_jdownloads&amp;Itemid=53&amp;view=finish&amp;cid=11190&amp;catid=218" TargetMode="External"/><Relationship Id="rId125" Type="http://schemas.openxmlformats.org/officeDocument/2006/relationships/hyperlink" Target="http://10.62.231.12:3000/index.php?option=com_jdownloads&amp;Itemid=53&amp;view=finish&amp;cid=6864&amp;catid=219" TargetMode="External"/><Relationship Id="rId146" Type="http://schemas.openxmlformats.org/officeDocument/2006/relationships/hyperlink" Target="http://10.62.231.12:3000/index.php?option=com_jdownloads&amp;Itemid=53&amp;view=finish&amp;cid=12410&amp;catid=221" TargetMode="External"/><Relationship Id="rId167" Type="http://schemas.openxmlformats.org/officeDocument/2006/relationships/hyperlink" Target="http://10.62.231.12:3000/index.php?option=com_jdownloads&amp;Itemid=53&amp;view=finish&amp;cid=12358&amp;catid=221" TargetMode="External"/><Relationship Id="rId188" Type="http://schemas.openxmlformats.org/officeDocument/2006/relationships/hyperlink" Target="http://10.62.231.12:3000/index.php?option=com_jdownloads&amp;Itemid=53&amp;view=finish&amp;cid=12479&amp;catid=223" TargetMode="External"/><Relationship Id="rId311" Type="http://schemas.openxmlformats.org/officeDocument/2006/relationships/hyperlink" Target="mailto:andik.e@jai.co.id" TargetMode="External"/><Relationship Id="rId332" Type="http://schemas.openxmlformats.org/officeDocument/2006/relationships/hyperlink" Target="mailto:andik.e@jai.co.id" TargetMode="External"/><Relationship Id="rId353" Type="http://schemas.openxmlformats.org/officeDocument/2006/relationships/hyperlink" Target="mailto:hayu.p@jai.co.id" TargetMode="External"/><Relationship Id="rId71" Type="http://schemas.openxmlformats.org/officeDocument/2006/relationships/hyperlink" Target="http://10.62.231.12:3000/index.php?option=com_jdownloads&amp;Itemid=53&amp;view=finish&amp;cid=14603&amp;catid=214" TargetMode="External"/><Relationship Id="rId92" Type="http://schemas.openxmlformats.org/officeDocument/2006/relationships/hyperlink" Target="http://10.62.231.12:3000/index.php?option=com_jdownloads&amp;Itemid=53&amp;view=finish&amp;cid=11238&amp;catid=217" TargetMode="External"/><Relationship Id="rId213" Type="http://schemas.openxmlformats.org/officeDocument/2006/relationships/hyperlink" Target="http://10.62.231.12:3000/index.php?option=com_jdownloads&amp;Itemid=53&amp;view=finish&amp;cid=14563&amp;catid=227" TargetMode="External"/><Relationship Id="rId234" Type="http://schemas.openxmlformats.org/officeDocument/2006/relationships/hyperlink" Target="http://10.62.231.12:3000/index.php?option=com_jdownloads&amp;Itemid=53&amp;view=finish&amp;cid=11106&amp;catid=228" TargetMode="External"/><Relationship Id="rId2" Type="http://schemas.openxmlformats.org/officeDocument/2006/relationships/hyperlink" Target="http://10.62.231.12:3000/index.php?option=com_jdownloads&amp;Itemid=53&amp;view=finish&amp;cid=11488&amp;catid=204" TargetMode="External"/><Relationship Id="rId29" Type="http://schemas.openxmlformats.org/officeDocument/2006/relationships/hyperlink" Target="http://intrajai:3000/index.php?option=com_jdownloads&amp;Itemid=53&amp;view=finish&amp;cid=12578&amp;catid=210" TargetMode="External"/><Relationship Id="rId255" Type="http://schemas.openxmlformats.org/officeDocument/2006/relationships/hyperlink" Target="mailto:evaningsih@jai.co.id" TargetMode="External"/><Relationship Id="rId276" Type="http://schemas.openxmlformats.org/officeDocument/2006/relationships/hyperlink" Target="mailto:endang.s@jai.co.id" TargetMode="External"/><Relationship Id="rId297" Type="http://schemas.openxmlformats.org/officeDocument/2006/relationships/hyperlink" Target="mailto:ghaitsul.a@jai.co.id" TargetMode="External"/><Relationship Id="rId40" Type="http://schemas.openxmlformats.org/officeDocument/2006/relationships/hyperlink" Target="http://10.62.231.12:3000/index.php?option=com_jdownloads&amp;Itemid=53&amp;view=finish&amp;cid=11173&amp;catid=214" TargetMode="External"/><Relationship Id="rId115" Type="http://schemas.openxmlformats.org/officeDocument/2006/relationships/hyperlink" Target="http://10.62.231.12:3000/index.php?option=com_jdownloads&amp;Itemid=53&amp;view=finish&amp;cid=14569&amp;catid=218" TargetMode="External"/><Relationship Id="rId136" Type="http://schemas.openxmlformats.org/officeDocument/2006/relationships/hyperlink" Target="http://10.62.231.12:3000/index.php?option=com_jdownloads&amp;Itemid=53&amp;view=finish&amp;cid=11242&amp;catid=221" TargetMode="External"/><Relationship Id="rId157" Type="http://schemas.openxmlformats.org/officeDocument/2006/relationships/hyperlink" Target="http://10.62.231.12:3000/index.php?option=com_jdownloads&amp;Itemid=53&amp;view=finish&amp;cid=14907&amp;catid=219" TargetMode="External"/><Relationship Id="rId178" Type="http://schemas.openxmlformats.org/officeDocument/2006/relationships/hyperlink" Target="http://10.62.231.12:3000/index.php?option=com_jdownloads&amp;Itemid=53&amp;view=finish&amp;cid=12158&amp;catid=222" TargetMode="External"/><Relationship Id="rId301" Type="http://schemas.openxmlformats.org/officeDocument/2006/relationships/hyperlink" Target="mailto:andik.e@jai.co.id" TargetMode="External"/><Relationship Id="rId322" Type="http://schemas.openxmlformats.org/officeDocument/2006/relationships/hyperlink" Target="mailto:andik.e@jai.co.id" TargetMode="External"/><Relationship Id="rId343" Type="http://schemas.openxmlformats.org/officeDocument/2006/relationships/hyperlink" Target="mailto:binti.s@jai.co.id" TargetMode="External"/><Relationship Id="rId364" Type="http://schemas.openxmlformats.org/officeDocument/2006/relationships/drawing" Target="../drawings/drawing2.xml"/><Relationship Id="rId61" Type="http://schemas.openxmlformats.org/officeDocument/2006/relationships/hyperlink" Target="http://10.62.231.12:3000/index.php?option=com_jdownloads&amp;Itemid=53&amp;view=finish&amp;cid=14870&amp;catid=210" TargetMode="External"/><Relationship Id="rId82" Type="http://schemas.openxmlformats.org/officeDocument/2006/relationships/hyperlink" Target="http://10.62.231.12:3000/index.php?option=com_jdownloads&amp;Itemid=53&amp;view=finish&amp;cid=12886&amp;catid=215" TargetMode="External"/><Relationship Id="rId199" Type="http://schemas.openxmlformats.org/officeDocument/2006/relationships/hyperlink" Target="http://10.62.231.12:3000/index.php?option=com_jdownloads&amp;Itemid=53&amp;view=finish&amp;cid=12795&amp;catid=223" TargetMode="External"/><Relationship Id="rId203" Type="http://schemas.openxmlformats.org/officeDocument/2006/relationships/hyperlink" Target="http://10.62.231.12:3000/index.php?option=com_jdownloads&amp;Itemid=53&amp;view=finish&amp;cid=8639&amp;catid=227" TargetMode="External"/><Relationship Id="rId19" Type="http://schemas.openxmlformats.org/officeDocument/2006/relationships/hyperlink" Target="http://10.62.231.12:3000/index.php?option=com_jdownloads&amp;Itemid=53&amp;view=finish&amp;cid=11218&amp;catid=206" TargetMode="External"/><Relationship Id="rId224" Type="http://schemas.openxmlformats.org/officeDocument/2006/relationships/hyperlink" Target="http://10.62.231.12:3000/index.php?option=com_jdownloads&amp;Itemid=53&amp;view=finish&amp;cid=14552&amp;catid=227" TargetMode="External"/><Relationship Id="rId245" Type="http://schemas.openxmlformats.org/officeDocument/2006/relationships/hyperlink" Target="http://10.62.231.12:3000/index.php?option=com_jdownloads&amp;Itemid=53&amp;view=finish&amp;cid=11280&amp;catid=229" TargetMode="External"/><Relationship Id="rId266" Type="http://schemas.openxmlformats.org/officeDocument/2006/relationships/hyperlink" Target="mailto:ira.a@jai.co.id" TargetMode="External"/><Relationship Id="rId287" Type="http://schemas.openxmlformats.org/officeDocument/2006/relationships/hyperlink" Target="mailto:binti.s@jai.co.id" TargetMode="External"/><Relationship Id="rId30" Type="http://schemas.openxmlformats.org/officeDocument/2006/relationships/hyperlink" Target="http://10.62.231.12:3000/index.php?option=com_jdownloads&amp;Itemid=53&amp;view=finish&amp;cid=11358&amp;catid=210" TargetMode="External"/><Relationship Id="rId105" Type="http://schemas.openxmlformats.org/officeDocument/2006/relationships/hyperlink" Target="http://10.62.231.12:3000/index.php?option=com_jdownloads&amp;Itemid=53&amp;view=finish&amp;cid=11191&amp;catid=218" TargetMode="External"/><Relationship Id="rId126" Type="http://schemas.openxmlformats.org/officeDocument/2006/relationships/hyperlink" Target="http://10.62.231.12:3000/index.php?option=com_jdownloads&amp;Itemid=53&amp;view=finish&amp;cid=10548&amp;catid=219" TargetMode="External"/><Relationship Id="rId147" Type="http://schemas.openxmlformats.org/officeDocument/2006/relationships/hyperlink" Target="http://10.62.231.12:3000/index.php?option=com_jdownloads&amp;Itemid=53&amp;view=finish&amp;cid=12791&amp;catid=221" TargetMode="External"/><Relationship Id="rId168" Type="http://schemas.openxmlformats.org/officeDocument/2006/relationships/hyperlink" Target="http://10.62.231.12:3000/index.php?option=com_jdownloads&amp;Itemid=53&amp;view=finish&amp;cid=12652&amp;catid=221" TargetMode="External"/><Relationship Id="rId312" Type="http://schemas.openxmlformats.org/officeDocument/2006/relationships/hyperlink" Target="mailto:andik.e@jai.co.id" TargetMode="External"/><Relationship Id="rId333" Type="http://schemas.openxmlformats.org/officeDocument/2006/relationships/hyperlink" Target="mailto:andik.e@jai.co.id" TargetMode="External"/><Relationship Id="rId354" Type="http://schemas.openxmlformats.org/officeDocument/2006/relationships/hyperlink" Target="mailto:hayu.p@jai.co.id" TargetMode="External"/><Relationship Id="rId51" Type="http://schemas.openxmlformats.org/officeDocument/2006/relationships/hyperlink" Target="http://10.62.231.12:3000/index.php?option=com_jdownloads&amp;Itemid=53&amp;view=finish&amp;cid=11325&amp;catid=210" TargetMode="External"/><Relationship Id="rId72" Type="http://schemas.openxmlformats.org/officeDocument/2006/relationships/hyperlink" Target="http://10.62.231.12:3000/index.php?option=com_jdownloads&amp;Itemid=53&amp;view=finish&amp;cid=14605&amp;catid=214" TargetMode="External"/><Relationship Id="rId93" Type="http://schemas.openxmlformats.org/officeDocument/2006/relationships/hyperlink" Target="http://10.62.231.12:3000/index.php?option=com_jdownloads&amp;Itemid=53&amp;view=finish&amp;cid=11271&amp;catid=217" TargetMode="External"/><Relationship Id="rId189" Type="http://schemas.openxmlformats.org/officeDocument/2006/relationships/hyperlink" Target="http://10.62.231.12:3000/index.php?option=com_jdownloads&amp;Itemid=53&amp;view=finish&amp;cid=12478&amp;catid=223" TargetMode="External"/><Relationship Id="rId3" Type="http://schemas.openxmlformats.org/officeDocument/2006/relationships/hyperlink" Target="http://10.62.231.12:3000/index.php?option=com_jdownloads&amp;Itemid=53&amp;view=finish&amp;cid=11489&amp;catid=235" TargetMode="External"/><Relationship Id="rId214" Type="http://schemas.openxmlformats.org/officeDocument/2006/relationships/hyperlink" Target="http://10.62.231.12:3000/index.php?option=com_jdownloads&amp;Itemid=53&amp;view=finish&amp;cid=14694&amp;catid=227" TargetMode="External"/><Relationship Id="rId235" Type="http://schemas.openxmlformats.org/officeDocument/2006/relationships/hyperlink" Target="http://10.62.231.12:3000/index.php?option=com_jdownloads&amp;Itemid=53&amp;view=finish&amp;cid=11228&amp;catid=229" TargetMode="External"/><Relationship Id="rId256" Type="http://schemas.openxmlformats.org/officeDocument/2006/relationships/hyperlink" Target="mailto:evaningsih@jai.co.id" TargetMode="External"/><Relationship Id="rId277" Type="http://schemas.openxmlformats.org/officeDocument/2006/relationships/hyperlink" Target="mailto:endang.s@jai.co.id" TargetMode="External"/><Relationship Id="rId298" Type="http://schemas.openxmlformats.org/officeDocument/2006/relationships/hyperlink" Target="mailto:tatag.k@jai.co.id,david.a@jai.co.id" TargetMode="External"/><Relationship Id="rId116" Type="http://schemas.openxmlformats.org/officeDocument/2006/relationships/hyperlink" Target="http://10.62.231.12:3000/index.php?option=com_jdownloads&amp;Itemid=53&amp;view=finish&amp;cid=11131&amp;catid=219" TargetMode="External"/><Relationship Id="rId137" Type="http://schemas.openxmlformats.org/officeDocument/2006/relationships/hyperlink" Target="http://10.62.231.12:3000/index.php?option=com_jdownloads&amp;Itemid=53&amp;view=finish&amp;cid=11243&amp;catid=221" TargetMode="External"/><Relationship Id="rId158" Type="http://schemas.openxmlformats.org/officeDocument/2006/relationships/hyperlink" Target="http://10.62.231.12:3000/index.php?option=com_jdownloads&amp;Itemid=53&amp;view=finish&amp;cid=11247&amp;catid=221" TargetMode="External"/><Relationship Id="rId302" Type="http://schemas.openxmlformats.org/officeDocument/2006/relationships/hyperlink" Target="mailto:andik.e@jai.co.id" TargetMode="External"/><Relationship Id="rId323" Type="http://schemas.openxmlformats.org/officeDocument/2006/relationships/hyperlink" Target="mailto:yachrul.h@jai.co.id" TargetMode="External"/><Relationship Id="rId344" Type="http://schemas.openxmlformats.org/officeDocument/2006/relationships/hyperlink" Target="mailto:endang.s@jai.co.id" TargetMode="External"/><Relationship Id="rId20" Type="http://schemas.openxmlformats.org/officeDocument/2006/relationships/hyperlink" Target="http://10.62.231.12:3000/index.php?option=com_jdownloads&amp;Itemid=53&amp;view=finish&amp;cid=11231&amp;catid=207" TargetMode="External"/><Relationship Id="rId41" Type="http://schemas.openxmlformats.org/officeDocument/2006/relationships/hyperlink" Target="http://10.62.231.12:3000/index.php?option=com_jdownloads&amp;Itemid=53&amp;view=finish&amp;cid=11174&amp;catid=214" TargetMode="External"/><Relationship Id="rId62" Type="http://schemas.openxmlformats.org/officeDocument/2006/relationships/hyperlink" Target="http://10.62.231.12:3000/index.php?option=com_jdownloads&amp;Itemid=53&amp;view=finish&amp;cid=14967&amp;catid=214" TargetMode="External"/><Relationship Id="rId83" Type="http://schemas.openxmlformats.org/officeDocument/2006/relationships/hyperlink" Target="http://10.62.231.12:3000/index.php?option=com_jdownloads&amp;Itemid=53&amp;view=finish&amp;cid=12965&amp;catid=215" TargetMode="External"/><Relationship Id="rId179" Type="http://schemas.openxmlformats.org/officeDocument/2006/relationships/hyperlink" Target="http://10.62.231.12:3000/index.php?option=com_jdownloads&amp;Itemid=53&amp;view=finish&amp;cid=12430&amp;catid=222" TargetMode="External"/><Relationship Id="rId365" Type="http://schemas.openxmlformats.org/officeDocument/2006/relationships/vmlDrawing" Target="../drawings/vmlDrawing2.vml"/><Relationship Id="rId190" Type="http://schemas.openxmlformats.org/officeDocument/2006/relationships/hyperlink" Target="http://10.62.231.12:3000/index.php?option=com_jdownloads&amp;Itemid=53&amp;view=finish&amp;cid=12794&amp;catid=223" TargetMode="External"/><Relationship Id="rId204" Type="http://schemas.openxmlformats.org/officeDocument/2006/relationships/hyperlink" Target="http://10.62.231.12:3000/index.php?option=com_jdownloads&amp;Itemid=53&amp;view=finish&amp;cid=11194&amp;catid=224" TargetMode="External"/><Relationship Id="rId225" Type="http://schemas.openxmlformats.org/officeDocument/2006/relationships/hyperlink" Target="http://10.62.231.12:3000/index.php?option=com_jdownloads&amp;Itemid=53&amp;view=finish&amp;cid=14861&amp;catid=227" TargetMode="External"/><Relationship Id="rId246" Type="http://schemas.openxmlformats.org/officeDocument/2006/relationships/hyperlink" Target="http://10.62.231.12:3000/index.php?option=com_jdownloads&amp;Itemid=53&amp;view=finish&amp;cid=12364&amp;catid=229" TargetMode="External"/><Relationship Id="rId267" Type="http://schemas.openxmlformats.org/officeDocument/2006/relationships/hyperlink" Target="mailto:ira.a@jai.co.id" TargetMode="External"/><Relationship Id="rId288" Type="http://schemas.openxmlformats.org/officeDocument/2006/relationships/hyperlink" Target="mailto:binti.s@jai.co.id" TargetMode="External"/><Relationship Id="rId106" Type="http://schemas.openxmlformats.org/officeDocument/2006/relationships/hyperlink" Target="http://10.62.231.12:3000/index.php?option=com_jdownloads&amp;Itemid=53&amp;view=finish&amp;cid=11192&amp;catid=218" TargetMode="External"/><Relationship Id="rId127" Type="http://schemas.openxmlformats.org/officeDocument/2006/relationships/hyperlink" Target="http://10.62.231.12:3000/index.php?option=com_jdownloads&amp;Itemid=53&amp;view=finish&amp;cid=10614&amp;catid=219" TargetMode="External"/><Relationship Id="rId313" Type="http://schemas.openxmlformats.org/officeDocument/2006/relationships/hyperlink" Target="mailto:andik.e@jai.co.id" TargetMode="External"/><Relationship Id="rId10" Type="http://schemas.openxmlformats.org/officeDocument/2006/relationships/hyperlink" Target="http://10.62.231.12:3000/index.php?option=com_jdownloads&amp;Itemid=53&amp;view=finish&amp;cid=11137&amp;catid=206" TargetMode="External"/><Relationship Id="rId31" Type="http://schemas.openxmlformats.org/officeDocument/2006/relationships/hyperlink" Target="http://10.62.231.12:3000/index.php?option=com_jdownloads&amp;Itemid=53&amp;view=finish&amp;cid=12405&amp;catid=210" TargetMode="External"/><Relationship Id="rId52" Type="http://schemas.openxmlformats.org/officeDocument/2006/relationships/hyperlink" Target="http://10.62.231.12:3000/index.php?option=com_jdownloads&amp;Itemid=53&amp;view=finish&amp;cid=11327&amp;catid=210" TargetMode="External"/><Relationship Id="rId73" Type="http://schemas.openxmlformats.org/officeDocument/2006/relationships/hyperlink" Target="http://intrajai:3000/index.php?option=com_jdownloads&amp;Itemid=53&amp;view=finish&amp;cid=12574&amp;catid=214" TargetMode="External"/><Relationship Id="rId94" Type="http://schemas.openxmlformats.org/officeDocument/2006/relationships/hyperlink" Target="http://10.62.231.12:3000/index.php?option=com_jdownloads&amp;Itemid=53&amp;view=finish&amp;cid=11272&amp;catid=217" TargetMode="External"/><Relationship Id="rId148" Type="http://schemas.openxmlformats.org/officeDocument/2006/relationships/hyperlink" Target="http://10.62.231.12:3000/index.php?option=com_jdownloads&amp;Itemid=53&amp;view=finish&amp;cid=12792&amp;catid=221" TargetMode="External"/><Relationship Id="rId169" Type="http://schemas.openxmlformats.org/officeDocument/2006/relationships/hyperlink" Target="http://10.62.231.12:3000/index.php?option=com_jdownloads&amp;Itemid=53&amp;view=finish&amp;cid=12793&amp;catid=222" TargetMode="External"/><Relationship Id="rId334" Type="http://schemas.openxmlformats.org/officeDocument/2006/relationships/hyperlink" Target="mailto:andik.e@jai.co.id" TargetMode="External"/><Relationship Id="rId355" Type="http://schemas.openxmlformats.org/officeDocument/2006/relationships/hyperlink" Target="mailto:hayu.p@jai.co.id" TargetMode="External"/><Relationship Id="rId4" Type="http://schemas.openxmlformats.org/officeDocument/2006/relationships/hyperlink" Target="http://10.62.231.12:3000/index.php?option=com_jdownloads&amp;Itemid=53&amp;view=finish&amp;cid=14723&amp;catid=141" TargetMode="External"/><Relationship Id="rId180" Type="http://schemas.openxmlformats.org/officeDocument/2006/relationships/hyperlink" Target="http://10.62.231.12:3000/index.php?option=com_jdownloads&amp;Itemid=53&amp;view=finish&amp;cid=12506&amp;catid=222" TargetMode="External"/><Relationship Id="rId215" Type="http://schemas.openxmlformats.org/officeDocument/2006/relationships/hyperlink" Target="http://10.62.231.12:3000/index.php?option=com_jdownloads&amp;Itemid=53&amp;view=finish&amp;cid=11041&amp;catid=227" TargetMode="External"/><Relationship Id="rId236" Type="http://schemas.openxmlformats.org/officeDocument/2006/relationships/hyperlink" Target="http://10.62.231.12:3000/index.php?option=com_jdownloads&amp;Itemid=53&amp;view=finish&amp;cid=11276&amp;catid=228" TargetMode="External"/><Relationship Id="rId257" Type="http://schemas.openxmlformats.org/officeDocument/2006/relationships/hyperlink" Target="mailto:evaningsih@jai.co.id" TargetMode="External"/><Relationship Id="rId278" Type="http://schemas.openxmlformats.org/officeDocument/2006/relationships/hyperlink" Target="mailto:endang.s@jai.co.id" TargetMode="External"/><Relationship Id="rId303" Type="http://schemas.openxmlformats.org/officeDocument/2006/relationships/hyperlink" Target="mailto:andik.e@jai.co.id" TargetMode="External"/><Relationship Id="rId42" Type="http://schemas.openxmlformats.org/officeDocument/2006/relationships/hyperlink" Target="http://10.62.231.12:3000/index.php?option=com_jdownloads&amp;Itemid=53&amp;view=finish&amp;cid=11185&amp;catid=210" TargetMode="External"/><Relationship Id="rId84" Type="http://schemas.openxmlformats.org/officeDocument/2006/relationships/hyperlink" Target="http://10.62.231.12:3000/index.php?option=com_jdownloads&amp;Itemid=53&amp;view=finish&amp;cid=14790&amp;catid=215" TargetMode="External"/><Relationship Id="rId138" Type="http://schemas.openxmlformats.org/officeDocument/2006/relationships/hyperlink" Target="http://10.62.231.12:3000/index.php?option=com_jdownloads&amp;Itemid=53&amp;view=finish&amp;cid=11244&amp;catid=221" TargetMode="External"/><Relationship Id="rId345" Type="http://schemas.openxmlformats.org/officeDocument/2006/relationships/hyperlink" Target="mailto:binti.s@jai.co.id" TargetMode="External"/><Relationship Id="rId191" Type="http://schemas.openxmlformats.org/officeDocument/2006/relationships/hyperlink" Target="http://10.62.231.12:3000/index.php?option=com_jdownloads&amp;Itemid=53&amp;view=finish&amp;cid=14962&amp;catid=223" TargetMode="External"/><Relationship Id="rId205" Type="http://schemas.openxmlformats.org/officeDocument/2006/relationships/hyperlink" Target="http://10.62.231.12:3000/index.php?option=com_jdownloads&amp;Itemid=53&amp;view=finish&amp;cid=11252&amp;catid=224" TargetMode="External"/><Relationship Id="rId247" Type="http://schemas.openxmlformats.org/officeDocument/2006/relationships/hyperlink" Target="http://10.62.231.12:3000/index.php?option=com_jdownloads&amp;Itemid=53&amp;view=finish&amp;cid=12402&amp;catid=230" TargetMode="External"/><Relationship Id="rId107" Type="http://schemas.openxmlformats.org/officeDocument/2006/relationships/hyperlink" Target="http://10.62.231.12:3000/index.php?option=com_jdownloads&amp;Itemid=53&amp;view=finish&amp;cid=12361&amp;catid=218" TargetMode="External"/><Relationship Id="rId289" Type="http://schemas.openxmlformats.org/officeDocument/2006/relationships/hyperlink" Target="mailto:binti.s@jai.co.id" TargetMode="External"/><Relationship Id="rId11" Type="http://schemas.openxmlformats.org/officeDocument/2006/relationships/hyperlink" Target="http://10.62.231.12:3000/index.php?option=com_jdownloads&amp;Itemid=53&amp;view=finish&amp;cid=11306&amp;catid=206" TargetMode="External"/><Relationship Id="rId53" Type="http://schemas.openxmlformats.org/officeDocument/2006/relationships/hyperlink" Target="http://10.62.231.12:3000/index.php?option=com_jdownloads&amp;Itemid=53&amp;view=finish&amp;cid=11326&amp;catid=210" TargetMode="External"/><Relationship Id="rId149" Type="http://schemas.openxmlformats.org/officeDocument/2006/relationships/hyperlink" Target="http://10.62.231.12:3000/index.php?option=com_jdownloads&amp;Itemid=53&amp;view=finish&amp;cid=12952&amp;catid=221" TargetMode="External"/><Relationship Id="rId314" Type="http://schemas.openxmlformats.org/officeDocument/2006/relationships/hyperlink" Target="mailto:andik.e@jai.co.id" TargetMode="External"/><Relationship Id="rId356" Type="http://schemas.openxmlformats.org/officeDocument/2006/relationships/hyperlink" Target="mailto:cahyo@jai.co.id" TargetMode="External"/><Relationship Id="rId95" Type="http://schemas.openxmlformats.org/officeDocument/2006/relationships/hyperlink" Target="http://10.62.231.12:3000/index.php?option=com_jdownloads&amp;Itemid=53&amp;view=finish&amp;cid=12407&amp;catid=217" TargetMode="External"/><Relationship Id="rId160" Type="http://schemas.openxmlformats.org/officeDocument/2006/relationships/hyperlink" Target="http://10.62.231.12:3000/index.php?option=com_jdownloads&amp;Itemid=53&amp;view=finish&amp;cid=11220&amp;catid=221" TargetMode="External"/><Relationship Id="rId216" Type="http://schemas.openxmlformats.org/officeDocument/2006/relationships/hyperlink" Target="http://10.62.231.12:3000/index.php?option=com_jdownloads&amp;Itemid=53&amp;view=finish&amp;cid=11133&amp;catid=227" TargetMode="External"/><Relationship Id="rId258" Type="http://schemas.openxmlformats.org/officeDocument/2006/relationships/hyperlink" Target="mailto:evaningsih@jai.co.id" TargetMode="External"/><Relationship Id="rId22" Type="http://schemas.openxmlformats.org/officeDocument/2006/relationships/hyperlink" Target="http://10.62.231.12:3000/index.php?option=com_jdownloads&amp;Itemid=53&amp;view=finish&amp;cid=12918&amp;catid=208" TargetMode="External"/><Relationship Id="rId64" Type="http://schemas.openxmlformats.org/officeDocument/2006/relationships/hyperlink" Target="http://10.62.231.12:3000/index.php?option=com_jdownloads&amp;Itemid=53&amp;view=finish&amp;cid=11175&amp;catid=215" TargetMode="External"/><Relationship Id="rId118" Type="http://schemas.openxmlformats.org/officeDocument/2006/relationships/hyperlink" Target="http://10.62.231.12:3000/index.php?option=com_jdownloads&amp;Itemid=53&amp;view=finish&amp;cid=14851&amp;catid=219" TargetMode="External"/><Relationship Id="rId325" Type="http://schemas.openxmlformats.org/officeDocument/2006/relationships/hyperlink" Target="mailto:yachrul.h@jai.co.id," TargetMode="External"/><Relationship Id="rId171" Type="http://schemas.openxmlformats.org/officeDocument/2006/relationships/hyperlink" Target="http://10.62.231.12:3000/index.php?option=com_jdownloads&amp;Itemid=53&amp;view=finish&amp;cid=12521&amp;catid=221" TargetMode="External"/><Relationship Id="rId227" Type="http://schemas.openxmlformats.org/officeDocument/2006/relationships/hyperlink" Target="http://10.62.231.12:3000/index.php?option=com_jdownloads&amp;Itemid=53&amp;view=finish&amp;cid=11055&amp;catid=228" TargetMode="External"/><Relationship Id="rId269" Type="http://schemas.openxmlformats.org/officeDocument/2006/relationships/hyperlink" Target="mailto:ira.a@jai.co.id" TargetMode="External"/><Relationship Id="rId33" Type="http://schemas.openxmlformats.org/officeDocument/2006/relationships/hyperlink" Target="http://intrajai:3000/index.php?option=com_jdownloads&amp;Itemid=53&amp;view=finish&amp;cid=2182&amp;catid=214" TargetMode="External"/><Relationship Id="rId129" Type="http://schemas.openxmlformats.org/officeDocument/2006/relationships/hyperlink" Target="http://10.62.231.12:3000/index.php?option=com_jdownloads&amp;Itemid=53&amp;view=finish&amp;cid=12953&amp;catid=219" TargetMode="External"/><Relationship Id="rId280" Type="http://schemas.openxmlformats.org/officeDocument/2006/relationships/hyperlink" Target="mailto:endang.s@jai.co.id" TargetMode="External"/><Relationship Id="rId336" Type="http://schemas.openxmlformats.org/officeDocument/2006/relationships/hyperlink" Target="mailto:andik.e@jai.co.id" TargetMode="External"/><Relationship Id="rId75" Type="http://schemas.openxmlformats.org/officeDocument/2006/relationships/hyperlink" Target="http://10.62.231.12:3000/index.php?option=com_jdownloads&amp;Itemid=53&amp;view=finish&amp;cid=14966&amp;catid=215" TargetMode="External"/><Relationship Id="rId140" Type="http://schemas.openxmlformats.org/officeDocument/2006/relationships/hyperlink" Target="http://10.62.231.12:3000/index.php?option=com_jdownloads&amp;Itemid=53&amp;view=finish&amp;cid=11246&amp;catid=221" TargetMode="External"/><Relationship Id="rId182" Type="http://schemas.openxmlformats.org/officeDocument/2006/relationships/hyperlink" Target="http://10.62.231.12:3000/index.php?option=com_jdownloads&amp;Itemid=53&amp;view=finish&amp;cid=12963&amp;catid=222" TargetMode="External"/><Relationship Id="rId6" Type="http://schemas.openxmlformats.org/officeDocument/2006/relationships/hyperlink" Target="http://10.62.231.12:3000/index.php?option=com_jdownloads&amp;Itemid=53&amp;view=finish&amp;cid=14553&amp;catid=204" TargetMode="External"/><Relationship Id="rId238" Type="http://schemas.openxmlformats.org/officeDocument/2006/relationships/hyperlink" Target="http://10.62.231.12:3000/index.php?option=com_jdownloads&amp;Itemid=53&amp;view=finish&amp;cid=12440&amp;catid=228" TargetMode="External"/><Relationship Id="rId291" Type="http://schemas.openxmlformats.org/officeDocument/2006/relationships/hyperlink" Target="mailto:ferry.i@jai.co.id," TargetMode="External"/><Relationship Id="rId305" Type="http://schemas.openxmlformats.org/officeDocument/2006/relationships/hyperlink" Target="mailto:andik.e@jai.co.id" TargetMode="External"/><Relationship Id="rId347" Type="http://schemas.openxmlformats.org/officeDocument/2006/relationships/hyperlink" Target="mailto:binti.s@jai.co.id" TargetMode="External"/><Relationship Id="rId44" Type="http://schemas.openxmlformats.org/officeDocument/2006/relationships/hyperlink" Target="http://10.62.231.12:3000/index.php?option=com_jdownloads&amp;Itemid=53&amp;view=finish&amp;cid=11265&amp;catid=210" TargetMode="External"/><Relationship Id="rId86" Type="http://schemas.openxmlformats.org/officeDocument/2006/relationships/hyperlink" Target="http://10.62.231.12:3000/index.php?option=com_jdownloads&amp;Itemid=53&amp;view=finish&amp;cid=14965&amp;catid=215" TargetMode="External"/><Relationship Id="rId151" Type="http://schemas.openxmlformats.org/officeDocument/2006/relationships/hyperlink" Target="http://10.62.231.12:3000/index.php?option=com_jdownloads&amp;Itemid=53&amp;view=finish&amp;cid=12575&amp;catid=221" TargetMode="External"/><Relationship Id="rId193" Type="http://schemas.openxmlformats.org/officeDocument/2006/relationships/hyperlink" Target="http://10.62.231.12:3000/index.php?option=com_jdownloads&amp;Itemid=53&amp;view=finish&amp;cid=11159&amp;catid=223" TargetMode="External"/><Relationship Id="rId207" Type="http://schemas.openxmlformats.org/officeDocument/2006/relationships/hyperlink" Target="http://10.62.231.12:3000/index.php?option=com_jdownloads&amp;Itemid=53&amp;view=finish&amp;cid=12966&amp;catid=227" TargetMode="External"/><Relationship Id="rId249" Type="http://schemas.openxmlformats.org/officeDocument/2006/relationships/hyperlink" Target="http://10.62.231.12:3000/index.php?option=com_jdownloads&amp;Itemid=53&amp;view=finish&amp;cid=12899&amp;catid=230" TargetMode="External"/><Relationship Id="rId13" Type="http://schemas.openxmlformats.org/officeDocument/2006/relationships/hyperlink" Target="http://10.62.231.12:3000/index.php?option=com_jdownloads&amp;Itemid=53&amp;view=finish&amp;cid=11138&amp;catid=206" TargetMode="External"/><Relationship Id="rId109" Type="http://schemas.openxmlformats.org/officeDocument/2006/relationships/hyperlink" Target="http://10.62.231.12:3000/index.php?option=com_jdownloads&amp;Itemid=53&amp;view=finish&amp;cid=11152&amp;catid=218" TargetMode="External"/><Relationship Id="rId260" Type="http://schemas.openxmlformats.org/officeDocument/2006/relationships/hyperlink" Target="mailto:dedi.k@jai.co.id" TargetMode="External"/><Relationship Id="rId316" Type="http://schemas.openxmlformats.org/officeDocument/2006/relationships/hyperlink" Target="mailto:andik.e@jai.co.id" TargetMode="External"/><Relationship Id="rId55" Type="http://schemas.openxmlformats.org/officeDocument/2006/relationships/hyperlink" Target="http://10.62.231.12:3000/index.php?option=com_jdownloads&amp;Itemid=53&amp;view=finish&amp;cid=11329&amp;catid=210" TargetMode="External"/><Relationship Id="rId97" Type="http://schemas.openxmlformats.org/officeDocument/2006/relationships/hyperlink" Target="http://10.62.231.12:3000/index.php?option=com_jdownloads&amp;Itemid=53&amp;view=finish&amp;cid=11236&amp;catid=218" TargetMode="External"/><Relationship Id="rId120" Type="http://schemas.openxmlformats.org/officeDocument/2006/relationships/hyperlink" Target="http://10.62.231.12:3000/index.php?option=com_jdownloads&amp;Itemid=53&amp;view=finish&amp;cid=11240&amp;catid=219" TargetMode="External"/><Relationship Id="rId358" Type="http://schemas.openxmlformats.org/officeDocument/2006/relationships/hyperlink" Target="mailto:cahyo@jai.co.id" TargetMode="External"/><Relationship Id="rId162" Type="http://schemas.openxmlformats.org/officeDocument/2006/relationships/hyperlink" Target="http://10.62.231.12:3000/index.php?option=com_jdownloads&amp;Itemid=53&amp;view=finish&amp;cid=11248&amp;catid=221" TargetMode="External"/><Relationship Id="rId218" Type="http://schemas.openxmlformats.org/officeDocument/2006/relationships/hyperlink" Target="http://10.62.231.12:3000/index.php?option=com_jdownloads&amp;Itemid=53&amp;view=finish&amp;cid=11279&amp;catid=228" TargetMode="External"/><Relationship Id="rId271" Type="http://schemas.openxmlformats.org/officeDocument/2006/relationships/hyperlink" Target="mailto:endang.s@jai.co.id" TargetMode="External"/><Relationship Id="rId24" Type="http://schemas.openxmlformats.org/officeDocument/2006/relationships/hyperlink" Target="http://10.62.231.12:3000/index.php?option=com_jdownloads&amp;Itemid=53&amp;view=finish&amp;cid=11287&amp;catid=210" TargetMode="External"/><Relationship Id="rId66" Type="http://schemas.openxmlformats.org/officeDocument/2006/relationships/hyperlink" Target="http://10.62.231.12:3000/index.php?option=com_jdownloads&amp;Itemid=53&amp;view=finish&amp;cid=11176&amp;catid=215" TargetMode="External"/><Relationship Id="rId131" Type="http://schemas.openxmlformats.org/officeDocument/2006/relationships/hyperlink" Target="http://10.62.231.12:3000/index.php?option=com_jdownloads&amp;Itemid=53&amp;view=finish&amp;cid=14860&amp;catid=219" TargetMode="External"/><Relationship Id="rId327" Type="http://schemas.openxmlformats.org/officeDocument/2006/relationships/hyperlink" Target="mailto:andik.e@jai.co.id" TargetMode="External"/><Relationship Id="rId173" Type="http://schemas.openxmlformats.org/officeDocument/2006/relationships/hyperlink" Target="http://10.62.231.12:3000/index.php?option=com_jdownloads&amp;Itemid=53&amp;view=finish&amp;cid=14964&amp;catid=222" TargetMode="External"/><Relationship Id="rId229" Type="http://schemas.openxmlformats.org/officeDocument/2006/relationships/hyperlink" Target="http://10.62.231.12:3000/index.php?option=com_jdownloads&amp;Itemid=53&amp;view=finish&amp;cid=11083&amp;catid=228" TargetMode="External"/><Relationship Id="rId240" Type="http://schemas.openxmlformats.org/officeDocument/2006/relationships/hyperlink" Target="http://10.62.231.12:3000/index.php?option=com_jdownloads&amp;Itemid=53&amp;view=finish&amp;cid=14676&amp;catid=229" TargetMode="External"/><Relationship Id="rId35" Type="http://schemas.openxmlformats.org/officeDocument/2006/relationships/hyperlink" Target="http://10.62.231.12:3000/index.php?option=com_jdownloads&amp;Itemid=53&amp;view=finish&amp;cid=8567&amp;catid=214" TargetMode="External"/><Relationship Id="rId77" Type="http://schemas.openxmlformats.org/officeDocument/2006/relationships/hyperlink" Target="http://10.62.231.12:3000/index.php?option=com_jdownloads&amp;Itemid=53&amp;view=finish&amp;cid=8422&amp;catid=215" TargetMode="External"/><Relationship Id="rId100" Type="http://schemas.openxmlformats.org/officeDocument/2006/relationships/hyperlink" Target="http://10.62.231.12:3000/index.php?option=com_jdownloads&amp;Itemid=53&amp;view=finish&amp;cid=11151&amp;catid=218" TargetMode="External"/><Relationship Id="rId282" Type="http://schemas.openxmlformats.org/officeDocument/2006/relationships/hyperlink" Target="mailto:endang.s@jai.co.id" TargetMode="External"/><Relationship Id="rId338" Type="http://schemas.openxmlformats.org/officeDocument/2006/relationships/hyperlink" Target="mailto:andik.e@jai.co.id" TargetMode="External"/><Relationship Id="rId8" Type="http://schemas.openxmlformats.org/officeDocument/2006/relationships/hyperlink" Target="http://10.62.231.12:3000/index.php?option=com_jdownloads&amp;Itemid=53&amp;view=finish&amp;cid=14969&amp;catid=205" TargetMode="External"/><Relationship Id="rId142" Type="http://schemas.openxmlformats.org/officeDocument/2006/relationships/hyperlink" Target="http://10.62.231.12:3000/index.php?option=com_jdownloads&amp;Itemid=53&amp;view=finish&amp;cid=11480&amp;catid=221" TargetMode="External"/><Relationship Id="rId184" Type="http://schemas.openxmlformats.org/officeDocument/2006/relationships/hyperlink" Target="http://10.62.231.12:3000/index.php?option=com_jdownloads&amp;Itemid=53&amp;view=finish&amp;cid=12382&amp;catid=222" TargetMode="External"/><Relationship Id="rId251" Type="http://schemas.openxmlformats.org/officeDocument/2006/relationships/hyperlink" Target="http://10.62.231.12:3000/index.php?option=com_jdownloads&amp;Itemid=53&amp;view=finish&amp;cid=14905&amp;catid=230" TargetMode="External"/><Relationship Id="rId46" Type="http://schemas.openxmlformats.org/officeDocument/2006/relationships/hyperlink" Target="http://10.62.231.12:3000/index.php?option=com_jdownloads&amp;Itemid=53&amp;view=finish&amp;cid=11267&amp;catid=210" TargetMode="External"/><Relationship Id="rId293" Type="http://schemas.openxmlformats.org/officeDocument/2006/relationships/hyperlink" Target="mailto:ferry.i@jai.co.id," TargetMode="External"/><Relationship Id="rId307" Type="http://schemas.openxmlformats.org/officeDocument/2006/relationships/hyperlink" Target="mailto:andik.e@jai.co.id" TargetMode="External"/><Relationship Id="rId349" Type="http://schemas.openxmlformats.org/officeDocument/2006/relationships/hyperlink" Target="mailto:binti.s@jai.co.id" TargetMode="External"/><Relationship Id="rId88" Type="http://schemas.openxmlformats.org/officeDocument/2006/relationships/hyperlink" Target="http://10.62.231.12:3000/index.php?option=com_jdownloads&amp;Itemid=53&amp;view=finish&amp;cid=11162&amp;catid=217" TargetMode="External"/><Relationship Id="rId111" Type="http://schemas.openxmlformats.org/officeDocument/2006/relationships/hyperlink" Target="http://10.62.231.12:3000/index.php?option=com_jdownloads&amp;Itemid=53&amp;view=finish&amp;cid=12435&amp;catid=218" TargetMode="External"/><Relationship Id="rId153" Type="http://schemas.openxmlformats.org/officeDocument/2006/relationships/hyperlink" Target="http://10.62.231.12:3000/index.php?option=com_jdownloads&amp;Itemid=53&amp;view=finish&amp;cid=12507&amp;catid=221" TargetMode="External"/><Relationship Id="rId195" Type="http://schemas.openxmlformats.org/officeDocument/2006/relationships/hyperlink" Target="http://10.62.231.12:3000/index.php?option=com_jdownloads&amp;Itemid=53&amp;view=finish&amp;cid=11225&amp;catid=224" TargetMode="External"/><Relationship Id="rId209" Type="http://schemas.openxmlformats.org/officeDocument/2006/relationships/hyperlink" Target="http://10.62.231.12:3000/index.php?option=com_jdownloads&amp;Itemid=53&amp;view=finish&amp;cid=14903&amp;catid=227" TargetMode="External"/><Relationship Id="rId360" Type="http://schemas.openxmlformats.org/officeDocument/2006/relationships/hyperlink" Target="mailto:cahyo@jai.co.i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ferry.i@jai.co.id" TargetMode="External"/><Relationship Id="rId18" Type="http://schemas.openxmlformats.org/officeDocument/2006/relationships/hyperlink" Target="mailto:ika.y@jai.co.id" TargetMode="External"/><Relationship Id="rId26" Type="http://schemas.openxmlformats.org/officeDocument/2006/relationships/hyperlink" Target="mailto:vinny.r@jai.co.id" TargetMode="External"/><Relationship Id="rId39" Type="http://schemas.openxmlformats.org/officeDocument/2006/relationships/hyperlink" Target="mailto:robertus.e@jai.co.id" TargetMode="External"/><Relationship Id="rId21" Type="http://schemas.openxmlformats.org/officeDocument/2006/relationships/hyperlink" Target="mailto:m.chasan@jai.co.id" TargetMode="External"/><Relationship Id="rId34" Type="http://schemas.openxmlformats.org/officeDocument/2006/relationships/hyperlink" Target="mailto:dedy.h@jai.co.id" TargetMode="External"/><Relationship Id="rId42" Type="http://schemas.openxmlformats.org/officeDocument/2006/relationships/hyperlink" Target="mailto:verry.s@jai.co.id" TargetMode="External"/><Relationship Id="rId47" Type="http://schemas.openxmlformats.org/officeDocument/2006/relationships/hyperlink" Target="mailto:arif.y@jai.co.id" TargetMode="External"/><Relationship Id="rId50" Type="http://schemas.openxmlformats.org/officeDocument/2006/relationships/hyperlink" Target="mailto:arthana.f@jai.co.id" TargetMode="External"/><Relationship Id="rId55" Type="http://schemas.openxmlformats.org/officeDocument/2006/relationships/hyperlink" Target="mailto:sepfi.s@jai.co.id" TargetMode="External"/><Relationship Id="rId63" Type="http://schemas.openxmlformats.org/officeDocument/2006/relationships/hyperlink" Target="mailto:tatag.k@jai.co.id" TargetMode="External"/><Relationship Id="rId7" Type="http://schemas.openxmlformats.org/officeDocument/2006/relationships/hyperlink" Target="mailto:david.a@jai.co.id" TargetMode="External"/><Relationship Id="rId2" Type="http://schemas.openxmlformats.org/officeDocument/2006/relationships/hyperlink" Target="mailto:agung.i@jai.co.id" TargetMode="External"/><Relationship Id="rId16" Type="http://schemas.openxmlformats.org/officeDocument/2006/relationships/hyperlink" Target="mailto:yuli.f@jai.co.id" TargetMode="External"/><Relationship Id="rId29" Type="http://schemas.openxmlformats.org/officeDocument/2006/relationships/hyperlink" Target="mailto:yachrul.h@jai.co.id" TargetMode="External"/><Relationship Id="rId11" Type="http://schemas.openxmlformats.org/officeDocument/2006/relationships/hyperlink" Target="mailto:evaningsih@jai.co.id" TargetMode="External"/><Relationship Id="rId24" Type="http://schemas.openxmlformats.org/officeDocument/2006/relationships/hyperlink" Target="mailto:riska.o@jai.co.id" TargetMode="External"/><Relationship Id="rId32" Type="http://schemas.openxmlformats.org/officeDocument/2006/relationships/hyperlink" Target="mailto:cahyo@jai.co.id" TargetMode="External"/><Relationship Id="rId37" Type="http://schemas.openxmlformats.org/officeDocument/2006/relationships/hyperlink" Target="mailto:adi.y@jai.co.id" TargetMode="External"/><Relationship Id="rId40" Type="http://schemas.openxmlformats.org/officeDocument/2006/relationships/hyperlink" Target="mailto:dedi.k@jai.co.id" TargetMode="External"/><Relationship Id="rId45" Type="http://schemas.openxmlformats.org/officeDocument/2006/relationships/hyperlink" Target="mailto:avif.p@jai.co.id" TargetMode="External"/><Relationship Id="rId53" Type="http://schemas.openxmlformats.org/officeDocument/2006/relationships/hyperlink" Target="mailto:heru.y@jai.co.id" TargetMode="External"/><Relationship Id="rId58" Type="http://schemas.openxmlformats.org/officeDocument/2006/relationships/hyperlink" Target="mailto:umar.f@jai.co.id" TargetMode="External"/><Relationship Id="rId5" Type="http://schemas.openxmlformats.org/officeDocument/2006/relationships/hyperlink" Target="mailto:arie.t@jai.co.id" TargetMode="External"/><Relationship Id="rId61" Type="http://schemas.openxmlformats.org/officeDocument/2006/relationships/hyperlink" Target="mailto:ghaitsul.a@jai.co.id" TargetMode="External"/><Relationship Id="rId19" Type="http://schemas.openxmlformats.org/officeDocument/2006/relationships/hyperlink" Target="mailto:lita.d@jai.co.id" TargetMode="External"/><Relationship Id="rId14" Type="http://schemas.openxmlformats.org/officeDocument/2006/relationships/hyperlink" Target="mailto:hendy.m@jai.co.id" TargetMode="External"/><Relationship Id="rId22" Type="http://schemas.openxmlformats.org/officeDocument/2006/relationships/hyperlink" Target="mailto:m.rafi@jai.co.id" TargetMode="External"/><Relationship Id="rId27" Type="http://schemas.openxmlformats.org/officeDocument/2006/relationships/hyperlink" Target="mailto:widyastuti.s@jai.co.id" TargetMode="External"/><Relationship Id="rId30" Type="http://schemas.openxmlformats.org/officeDocument/2006/relationships/hyperlink" Target="mailto:toni.w@jai.co.id" TargetMode="External"/><Relationship Id="rId35" Type="http://schemas.openxmlformats.org/officeDocument/2006/relationships/hyperlink" Target="mailto:evis.m@jai.co.id" TargetMode="External"/><Relationship Id="rId43" Type="http://schemas.openxmlformats.org/officeDocument/2006/relationships/hyperlink" Target="mailto:kartono@jai.co.id" TargetMode="External"/><Relationship Id="rId48" Type="http://schemas.openxmlformats.org/officeDocument/2006/relationships/hyperlink" Target="mailto:okti.v@jai.co.id" TargetMode="External"/><Relationship Id="rId56" Type="http://schemas.openxmlformats.org/officeDocument/2006/relationships/hyperlink" Target="mailto:nurdianengseh@jai.co.id" TargetMode="External"/><Relationship Id="rId64" Type="http://schemas.openxmlformats.org/officeDocument/2006/relationships/printerSettings" Target="../printerSettings/printerSettings3.bin"/><Relationship Id="rId8" Type="http://schemas.openxmlformats.org/officeDocument/2006/relationships/hyperlink" Target="mailto:dwi.as@jai.co.id" TargetMode="External"/><Relationship Id="rId51" Type="http://schemas.openxmlformats.org/officeDocument/2006/relationships/hyperlink" Target="mailto:andik.e@jai.co.id" TargetMode="External"/><Relationship Id="rId3" Type="http://schemas.openxmlformats.org/officeDocument/2006/relationships/hyperlink" Target="mailto:atiek.s@jai.co.id" TargetMode="External"/><Relationship Id="rId12" Type="http://schemas.openxmlformats.org/officeDocument/2006/relationships/hyperlink" Target="mailto:endang.s@jai.co.id" TargetMode="External"/><Relationship Id="rId17" Type="http://schemas.openxmlformats.org/officeDocument/2006/relationships/hyperlink" Target="mailto:hary.sw@jai.co.id" TargetMode="External"/><Relationship Id="rId25" Type="http://schemas.openxmlformats.org/officeDocument/2006/relationships/hyperlink" Target="mailto:shinta.f@jai.co.id" TargetMode="External"/><Relationship Id="rId33" Type="http://schemas.openxmlformats.org/officeDocument/2006/relationships/hyperlink" Target="mailto:teguh.w@jai.co.id" TargetMode="External"/><Relationship Id="rId38" Type="http://schemas.openxmlformats.org/officeDocument/2006/relationships/hyperlink" Target="mailto:riza.a@jai.co.id" TargetMode="External"/><Relationship Id="rId46" Type="http://schemas.openxmlformats.org/officeDocument/2006/relationships/hyperlink" Target="mailto:ira.a@jai.co.id" TargetMode="External"/><Relationship Id="rId59" Type="http://schemas.openxmlformats.org/officeDocument/2006/relationships/hyperlink" Target="mailto:david.a@jai.co.id" TargetMode="External"/><Relationship Id="rId20" Type="http://schemas.openxmlformats.org/officeDocument/2006/relationships/hyperlink" Target="mailto:lilis.s@jai.co.id" TargetMode="External"/><Relationship Id="rId41" Type="http://schemas.openxmlformats.org/officeDocument/2006/relationships/hyperlink" Target="mailto:teguh.s@jai.co.id" TargetMode="External"/><Relationship Id="rId54" Type="http://schemas.openxmlformats.org/officeDocument/2006/relationships/hyperlink" Target="mailto:rizal.f@jai.co.id" TargetMode="External"/><Relationship Id="rId62" Type="http://schemas.openxmlformats.org/officeDocument/2006/relationships/hyperlink" Target="mailto:ghaitsul.a@jai.co.id" TargetMode="External"/><Relationship Id="rId1" Type="http://schemas.openxmlformats.org/officeDocument/2006/relationships/hyperlink" Target="mailto:aris.c@jai.co.id" TargetMode="External"/><Relationship Id="rId6" Type="http://schemas.openxmlformats.org/officeDocument/2006/relationships/hyperlink" Target="mailto:catur.h@jai.co.id" TargetMode="External"/><Relationship Id="rId15" Type="http://schemas.openxmlformats.org/officeDocument/2006/relationships/hyperlink" Target="mailto:hayu.p@jai.co.id" TargetMode="External"/><Relationship Id="rId23" Type="http://schemas.openxmlformats.org/officeDocument/2006/relationships/hyperlink" Target="mailto:noivasari@jai.co.id" TargetMode="External"/><Relationship Id="rId28" Type="http://schemas.openxmlformats.org/officeDocument/2006/relationships/hyperlink" Target="mailto:wiwin.w@jai.co.id" TargetMode="External"/><Relationship Id="rId36" Type="http://schemas.openxmlformats.org/officeDocument/2006/relationships/hyperlink" Target="mailto:kholiq@jai.co.id" TargetMode="External"/><Relationship Id="rId49" Type="http://schemas.openxmlformats.org/officeDocument/2006/relationships/hyperlink" Target="mailto:binti.s@jai.co.id" TargetMode="External"/><Relationship Id="rId57" Type="http://schemas.openxmlformats.org/officeDocument/2006/relationships/hyperlink" Target="mailto:pricing1@jai.co.id" TargetMode="External"/><Relationship Id="rId10" Type="http://schemas.openxmlformats.org/officeDocument/2006/relationships/hyperlink" Target="mailto:david.k@jai.co.id" TargetMode="External"/><Relationship Id="rId31" Type="http://schemas.openxmlformats.org/officeDocument/2006/relationships/hyperlink" Target="mailto:afianty.m@jai.co.id" TargetMode="External"/><Relationship Id="rId44" Type="http://schemas.openxmlformats.org/officeDocument/2006/relationships/hyperlink" Target="mailto:tatag.k@jai.co.id" TargetMode="External"/><Relationship Id="rId52" Type="http://schemas.openxmlformats.org/officeDocument/2006/relationships/hyperlink" Target="mailto:lia.n@jai.co.id" TargetMode="External"/><Relationship Id="rId60" Type="http://schemas.openxmlformats.org/officeDocument/2006/relationships/hyperlink" Target="mailto:yachrul.h@jai.co.id" TargetMode="External"/><Relationship Id="rId4" Type="http://schemas.openxmlformats.org/officeDocument/2006/relationships/hyperlink" Target="mailto:arianto.s@jai.co.id" TargetMode="External"/><Relationship Id="rId9" Type="http://schemas.openxmlformats.org/officeDocument/2006/relationships/hyperlink" Target="mailto:danny.h@jai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"/>
  <sheetViews>
    <sheetView view="pageBreakPreview" zoomScale="90" zoomScaleNormal="85" zoomScaleSheetLayoutView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8" sqref="B8"/>
    </sheetView>
  </sheetViews>
  <sheetFormatPr defaultRowHeight="14.5" x14ac:dyDescent="0.35"/>
  <cols>
    <col min="1" max="1" width="4" bestFit="1" customWidth="1"/>
    <col min="2" max="2" width="83.54296875" customWidth="1"/>
    <col min="3" max="3" width="15.1796875" customWidth="1"/>
    <col min="4" max="4" width="8.1796875" customWidth="1"/>
    <col min="5" max="5" width="27.1796875" bestFit="1" customWidth="1"/>
    <col min="6" max="6" width="27.1796875" customWidth="1"/>
    <col min="7" max="12" width="22.81640625" customWidth="1"/>
  </cols>
  <sheetData>
    <row r="1" spans="1:2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8</v>
      </c>
      <c r="M1" s="1" t="s">
        <v>6</v>
      </c>
      <c r="N1" s="1" t="s">
        <v>7</v>
      </c>
      <c r="O1" s="1" t="s">
        <v>8</v>
      </c>
      <c r="P1" s="1" t="s">
        <v>6</v>
      </c>
      <c r="Q1" s="1" t="s">
        <v>7</v>
      </c>
      <c r="R1" s="1" t="s">
        <v>8</v>
      </c>
      <c r="S1" s="1" t="s">
        <v>6</v>
      </c>
      <c r="T1" s="1" t="s">
        <v>7</v>
      </c>
      <c r="U1" s="1" t="s">
        <v>8</v>
      </c>
    </row>
    <row r="2" spans="1:21" ht="15.5" x14ac:dyDescent="0.35">
      <c r="A2" s="2">
        <v>1</v>
      </c>
      <c r="B2" s="3" t="s">
        <v>9</v>
      </c>
      <c r="C2" s="4" t="s">
        <v>10</v>
      </c>
      <c r="D2" s="5">
        <v>15</v>
      </c>
      <c r="E2" s="6" t="s">
        <v>11</v>
      </c>
      <c r="F2" s="6" t="s">
        <v>12</v>
      </c>
      <c r="G2" s="7" t="s">
        <v>13</v>
      </c>
      <c r="H2" s="7" t="s">
        <v>14</v>
      </c>
      <c r="I2" s="7" t="s">
        <v>14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5.5" x14ac:dyDescent="0.35">
      <c r="A3" s="9">
        <v>2</v>
      </c>
      <c r="B3" s="3" t="s">
        <v>15</v>
      </c>
      <c r="C3" s="4" t="s">
        <v>16</v>
      </c>
      <c r="D3" s="5" t="s">
        <v>17</v>
      </c>
      <c r="E3" s="6" t="s">
        <v>11</v>
      </c>
      <c r="F3" s="6" t="s">
        <v>12</v>
      </c>
      <c r="G3" s="7" t="s">
        <v>13</v>
      </c>
      <c r="H3" s="7" t="s">
        <v>14</v>
      </c>
      <c r="I3" s="7" t="s">
        <v>14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5" x14ac:dyDescent="0.35">
      <c r="A4" s="9">
        <v>3</v>
      </c>
      <c r="B4" s="3" t="s">
        <v>18</v>
      </c>
      <c r="C4" s="4" t="s">
        <v>19</v>
      </c>
      <c r="D4" s="5" t="s">
        <v>20</v>
      </c>
      <c r="E4" s="6" t="s">
        <v>11</v>
      </c>
      <c r="F4" s="6" t="s">
        <v>12</v>
      </c>
      <c r="G4" s="7" t="s">
        <v>13</v>
      </c>
      <c r="H4" s="7" t="s">
        <v>14</v>
      </c>
      <c r="I4" s="7" t="s">
        <v>14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5.5" x14ac:dyDescent="0.35">
      <c r="A5" s="9">
        <v>4</v>
      </c>
      <c r="B5" s="3" t="s">
        <v>21</v>
      </c>
      <c r="C5" s="4" t="s">
        <v>22</v>
      </c>
      <c r="D5" s="5" t="s">
        <v>23</v>
      </c>
      <c r="E5" s="6" t="s">
        <v>24</v>
      </c>
      <c r="F5" s="6" t="s">
        <v>12</v>
      </c>
      <c r="G5" s="7" t="s">
        <v>13</v>
      </c>
      <c r="H5" s="7" t="s">
        <v>14</v>
      </c>
      <c r="I5" s="7" t="s">
        <v>14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5" x14ac:dyDescent="0.35">
      <c r="A6" s="9">
        <v>5</v>
      </c>
      <c r="B6" s="10" t="s">
        <v>25</v>
      </c>
      <c r="C6" s="4" t="s">
        <v>26</v>
      </c>
      <c r="D6" s="5" t="s">
        <v>20</v>
      </c>
      <c r="E6" s="6" t="s">
        <v>24</v>
      </c>
      <c r="F6" s="6" t="s">
        <v>12</v>
      </c>
      <c r="G6" s="7" t="s">
        <v>13</v>
      </c>
      <c r="H6" s="7" t="s">
        <v>14</v>
      </c>
      <c r="I6" s="7" t="s">
        <v>14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31" x14ac:dyDescent="0.35">
      <c r="A7" s="9">
        <v>6</v>
      </c>
      <c r="B7" s="3" t="s">
        <v>27</v>
      </c>
      <c r="C7" s="4" t="s">
        <v>28</v>
      </c>
      <c r="D7" s="5" t="s">
        <v>29</v>
      </c>
      <c r="E7" s="6" t="s">
        <v>30</v>
      </c>
      <c r="F7" s="6" t="s">
        <v>31</v>
      </c>
      <c r="G7" s="11" t="s">
        <v>32</v>
      </c>
      <c r="H7" s="12" t="s">
        <v>33</v>
      </c>
      <c r="I7" s="7" t="s">
        <v>34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5.5" x14ac:dyDescent="0.35">
      <c r="A8" s="9">
        <v>7</v>
      </c>
      <c r="B8" s="10" t="s">
        <v>35</v>
      </c>
      <c r="C8" s="4" t="s">
        <v>36</v>
      </c>
      <c r="D8" s="5" t="s">
        <v>37</v>
      </c>
      <c r="E8" s="6" t="s">
        <v>24</v>
      </c>
      <c r="F8" s="6" t="s">
        <v>12</v>
      </c>
      <c r="G8" s="7" t="s">
        <v>13</v>
      </c>
      <c r="H8" s="7" t="s">
        <v>14</v>
      </c>
      <c r="I8" s="7" t="s">
        <v>14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46.5" x14ac:dyDescent="0.35">
      <c r="A9" s="9">
        <v>8</v>
      </c>
      <c r="B9" s="3" t="s">
        <v>38</v>
      </c>
      <c r="C9" s="6" t="s">
        <v>39</v>
      </c>
      <c r="D9" s="5" t="s">
        <v>40</v>
      </c>
      <c r="E9" s="6" t="s">
        <v>41</v>
      </c>
      <c r="F9" s="6" t="s">
        <v>42</v>
      </c>
      <c r="G9" s="11" t="s">
        <v>43</v>
      </c>
      <c r="H9" s="7" t="s">
        <v>44</v>
      </c>
      <c r="I9" s="7" t="s">
        <v>45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.5" x14ac:dyDescent="0.35">
      <c r="A10" s="9">
        <v>9</v>
      </c>
      <c r="B10" s="3" t="s">
        <v>46</v>
      </c>
      <c r="C10" s="4" t="s">
        <v>47</v>
      </c>
      <c r="D10" s="5">
        <v>14</v>
      </c>
      <c r="E10" s="6" t="s">
        <v>24</v>
      </c>
      <c r="F10" s="6" t="s">
        <v>12</v>
      </c>
      <c r="G10" s="7" t="s">
        <v>13</v>
      </c>
      <c r="H10" s="7" t="s">
        <v>14</v>
      </c>
      <c r="I10" s="7" t="s">
        <v>14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.5" x14ac:dyDescent="0.35">
      <c r="A11" s="9">
        <v>10</v>
      </c>
      <c r="B11" s="3" t="s">
        <v>48</v>
      </c>
      <c r="C11" s="4" t="s">
        <v>49</v>
      </c>
      <c r="D11" s="5" t="s">
        <v>20</v>
      </c>
      <c r="E11" s="6" t="s">
        <v>24</v>
      </c>
      <c r="F11" s="6" t="s">
        <v>12</v>
      </c>
      <c r="G11" s="7" t="s">
        <v>13</v>
      </c>
      <c r="H11" s="7" t="s">
        <v>14</v>
      </c>
      <c r="I11" s="7" t="s">
        <v>14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.5" x14ac:dyDescent="0.35">
      <c r="A12" s="9">
        <v>11</v>
      </c>
      <c r="B12" s="3" t="s">
        <v>50</v>
      </c>
      <c r="C12" s="4" t="s">
        <v>51</v>
      </c>
      <c r="D12" s="5" t="s">
        <v>52</v>
      </c>
      <c r="E12" s="6" t="s">
        <v>11</v>
      </c>
      <c r="F12" s="6" t="s">
        <v>12</v>
      </c>
      <c r="G12" s="7" t="s">
        <v>13</v>
      </c>
      <c r="H12" s="7" t="s">
        <v>14</v>
      </c>
      <c r="I12" s="7" t="s">
        <v>14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5.5" x14ac:dyDescent="0.35">
      <c r="A13" s="9">
        <v>12</v>
      </c>
      <c r="B13" s="3" t="s">
        <v>53</v>
      </c>
      <c r="C13" s="6" t="s">
        <v>54</v>
      </c>
      <c r="D13" s="5">
        <v>11</v>
      </c>
      <c r="E13" s="6" t="s">
        <v>55</v>
      </c>
      <c r="F13" s="6" t="s">
        <v>56</v>
      </c>
      <c r="G13" s="7" t="s">
        <v>57</v>
      </c>
      <c r="H13" s="13" t="s">
        <v>44</v>
      </c>
      <c r="I13" s="13" t="s">
        <v>45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46.5" x14ac:dyDescent="0.35">
      <c r="A14" s="9">
        <v>13</v>
      </c>
      <c r="B14" s="3" t="s">
        <v>58</v>
      </c>
      <c r="C14" s="4" t="s">
        <v>59</v>
      </c>
      <c r="D14" s="5" t="s">
        <v>29</v>
      </c>
      <c r="E14" s="6" t="s">
        <v>41</v>
      </c>
      <c r="F14" s="6" t="s">
        <v>42</v>
      </c>
      <c r="G14" s="11" t="s">
        <v>43</v>
      </c>
      <c r="H14" s="7" t="s">
        <v>44</v>
      </c>
      <c r="I14" s="7" t="s">
        <v>45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.5" x14ac:dyDescent="0.35">
      <c r="A15" s="9">
        <v>14</v>
      </c>
      <c r="B15" s="3" t="s">
        <v>60</v>
      </c>
      <c r="C15" s="4" t="s">
        <v>61</v>
      </c>
      <c r="D15" s="5" t="s">
        <v>29</v>
      </c>
      <c r="E15" s="6" t="s">
        <v>11</v>
      </c>
      <c r="F15" s="6" t="s">
        <v>12</v>
      </c>
      <c r="G15" s="7" t="s">
        <v>13</v>
      </c>
      <c r="H15" s="7" t="s">
        <v>14</v>
      </c>
      <c r="I15" s="7" t="s">
        <v>14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46.5" x14ac:dyDescent="0.35">
      <c r="A16" s="9">
        <v>15</v>
      </c>
      <c r="B16" s="14" t="s">
        <v>62</v>
      </c>
      <c r="C16" s="4" t="s">
        <v>63</v>
      </c>
      <c r="D16" s="5" t="s">
        <v>29</v>
      </c>
      <c r="E16" s="6" t="s">
        <v>41</v>
      </c>
      <c r="F16" s="6" t="s">
        <v>42</v>
      </c>
      <c r="G16" s="11" t="s">
        <v>43</v>
      </c>
      <c r="H16" s="7" t="s">
        <v>44</v>
      </c>
      <c r="I16" s="7" t="s">
        <v>45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5.5" x14ac:dyDescent="0.35">
      <c r="A17" s="9">
        <v>16</v>
      </c>
      <c r="B17" s="3" t="s">
        <v>64</v>
      </c>
      <c r="C17" s="4" t="s">
        <v>65</v>
      </c>
      <c r="D17" s="15" t="s">
        <v>20</v>
      </c>
      <c r="E17" s="4" t="s">
        <v>11</v>
      </c>
      <c r="F17" s="6" t="s">
        <v>12</v>
      </c>
      <c r="G17" s="7" t="s">
        <v>13</v>
      </c>
      <c r="H17" s="7" t="s">
        <v>14</v>
      </c>
      <c r="I17" s="7" t="s">
        <v>14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5.5" x14ac:dyDescent="0.35">
      <c r="A18" s="9">
        <v>17</v>
      </c>
      <c r="B18" s="14" t="s">
        <v>66</v>
      </c>
      <c r="C18" s="4" t="s">
        <v>67</v>
      </c>
      <c r="D18" s="15" t="s">
        <v>29</v>
      </c>
      <c r="E18" s="4" t="s">
        <v>68</v>
      </c>
      <c r="F18" s="4" t="s">
        <v>69</v>
      </c>
      <c r="G18" s="7" t="s">
        <v>13</v>
      </c>
      <c r="H18" s="7" t="s">
        <v>14</v>
      </c>
      <c r="I18" s="7" t="s">
        <v>14</v>
      </c>
      <c r="J18" s="7" t="s">
        <v>70</v>
      </c>
      <c r="K18" s="7" t="s">
        <v>71</v>
      </c>
      <c r="L18" s="7" t="s">
        <v>71</v>
      </c>
      <c r="M18" s="8"/>
      <c r="N18" s="8"/>
      <c r="O18" s="8"/>
      <c r="P18" s="8"/>
      <c r="Q18" s="8"/>
      <c r="R18" s="8"/>
      <c r="S18" s="8"/>
      <c r="T18" s="8"/>
      <c r="U18" s="8"/>
    </row>
    <row r="19" spans="1:21" ht="46.5" x14ac:dyDescent="0.35">
      <c r="A19" s="9">
        <v>18</v>
      </c>
      <c r="B19" s="3" t="s">
        <v>72</v>
      </c>
      <c r="C19" s="4" t="s">
        <v>73</v>
      </c>
      <c r="D19" s="5" t="s">
        <v>29</v>
      </c>
      <c r="E19" s="6" t="s">
        <v>41</v>
      </c>
      <c r="F19" s="6" t="s">
        <v>42</v>
      </c>
      <c r="G19" s="11" t="s">
        <v>43</v>
      </c>
      <c r="H19" s="7" t="s">
        <v>44</v>
      </c>
      <c r="I19" s="7" t="s">
        <v>45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5.5" x14ac:dyDescent="0.35">
      <c r="A20" s="9">
        <v>19</v>
      </c>
      <c r="B20" s="3" t="s">
        <v>74</v>
      </c>
      <c r="C20" s="4" t="s">
        <v>75</v>
      </c>
      <c r="D20" s="15" t="s">
        <v>76</v>
      </c>
      <c r="E20" s="4" t="s">
        <v>77</v>
      </c>
      <c r="F20" s="4" t="s">
        <v>78</v>
      </c>
      <c r="G20" s="7" t="s">
        <v>79</v>
      </c>
      <c r="H20" s="7" t="s">
        <v>44</v>
      </c>
      <c r="I20" s="7" t="s">
        <v>45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46.5" x14ac:dyDescent="0.35">
      <c r="A21" s="9">
        <v>20</v>
      </c>
      <c r="B21" s="14" t="s">
        <v>80</v>
      </c>
      <c r="C21" s="4" t="s">
        <v>81</v>
      </c>
      <c r="D21" s="5" t="s">
        <v>20</v>
      </c>
      <c r="E21" s="16" t="s">
        <v>82</v>
      </c>
      <c r="F21" s="6" t="s">
        <v>42</v>
      </c>
      <c r="G21" s="11" t="s">
        <v>43</v>
      </c>
      <c r="H21" s="7" t="s">
        <v>44</v>
      </c>
      <c r="I21" s="7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5.5" x14ac:dyDescent="0.35">
      <c r="A22" s="9">
        <v>21</v>
      </c>
      <c r="B22" s="10" t="s">
        <v>83</v>
      </c>
      <c r="C22" s="4" t="s">
        <v>84</v>
      </c>
      <c r="D22" s="5">
        <v>12</v>
      </c>
      <c r="E22" s="6" t="s">
        <v>11</v>
      </c>
      <c r="F22" s="6" t="s">
        <v>12</v>
      </c>
      <c r="G22" s="7" t="s">
        <v>13</v>
      </c>
      <c r="H22" s="7" t="s">
        <v>14</v>
      </c>
      <c r="I22" s="7" t="s">
        <v>14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5.5" x14ac:dyDescent="0.35">
      <c r="A23" s="9">
        <v>22</v>
      </c>
      <c r="B23" s="3" t="s">
        <v>85</v>
      </c>
      <c r="C23" s="4" t="s">
        <v>86</v>
      </c>
      <c r="D23" s="5" t="s">
        <v>20</v>
      </c>
      <c r="E23" s="6" t="s">
        <v>87</v>
      </c>
      <c r="F23" s="4" t="s">
        <v>88</v>
      </c>
      <c r="G23" s="7" t="s">
        <v>89</v>
      </c>
      <c r="H23" s="13" t="s">
        <v>90</v>
      </c>
      <c r="I23" s="13" t="s">
        <v>90</v>
      </c>
      <c r="J23" s="7" t="s">
        <v>79</v>
      </c>
      <c r="K23" s="7" t="s">
        <v>44</v>
      </c>
      <c r="L23" s="7" t="s">
        <v>45</v>
      </c>
      <c r="M23" s="8"/>
      <c r="N23" s="8"/>
      <c r="O23" s="8"/>
      <c r="P23" s="8"/>
      <c r="Q23" s="8"/>
      <c r="R23" s="8"/>
      <c r="S23" s="8"/>
      <c r="T23" s="8"/>
      <c r="U23" s="8"/>
    </row>
    <row r="24" spans="1:21" ht="15.5" x14ac:dyDescent="0.35">
      <c r="A24" s="9">
        <v>23</v>
      </c>
      <c r="B24" s="14" t="s">
        <v>91</v>
      </c>
      <c r="C24" s="4" t="s">
        <v>92</v>
      </c>
      <c r="D24" s="5" t="s">
        <v>17</v>
      </c>
      <c r="E24" s="6" t="s">
        <v>11</v>
      </c>
      <c r="F24" s="6" t="s">
        <v>12</v>
      </c>
      <c r="G24" s="7" t="s">
        <v>13</v>
      </c>
      <c r="H24" s="7" t="s">
        <v>14</v>
      </c>
      <c r="I24" s="7" t="s">
        <v>14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5.5" x14ac:dyDescent="0.35">
      <c r="A25" s="9">
        <v>24</v>
      </c>
      <c r="B25" s="14" t="s">
        <v>93</v>
      </c>
      <c r="C25" s="4" t="s">
        <v>94</v>
      </c>
      <c r="D25" s="5" t="s">
        <v>40</v>
      </c>
      <c r="E25" s="6" t="s">
        <v>95</v>
      </c>
      <c r="F25" s="6" t="s">
        <v>12</v>
      </c>
      <c r="G25" s="7" t="s">
        <v>13</v>
      </c>
      <c r="H25" s="7" t="s">
        <v>14</v>
      </c>
      <c r="I25" s="7" t="s">
        <v>14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5.5" x14ac:dyDescent="0.35">
      <c r="A26" s="9">
        <v>25</v>
      </c>
      <c r="B26" s="14" t="s">
        <v>96</v>
      </c>
      <c r="C26" s="4" t="s">
        <v>97</v>
      </c>
      <c r="D26" s="5" t="s">
        <v>17</v>
      </c>
      <c r="E26" s="6" t="s">
        <v>98</v>
      </c>
      <c r="F26" s="6" t="s">
        <v>99</v>
      </c>
      <c r="G26" s="7" t="s">
        <v>100</v>
      </c>
      <c r="H26" s="7" t="s">
        <v>101</v>
      </c>
      <c r="I26" s="7" t="s">
        <v>71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5.5" x14ac:dyDescent="0.35">
      <c r="A27" s="9">
        <v>26</v>
      </c>
      <c r="B27" s="3" t="s">
        <v>102</v>
      </c>
      <c r="C27" s="6" t="s">
        <v>103</v>
      </c>
      <c r="D27" s="5" t="s">
        <v>76</v>
      </c>
      <c r="E27" s="6" t="s">
        <v>98</v>
      </c>
      <c r="F27" s="6" t="s">
        <v>99</v>
      </c>
      <c r="G27" s="7" t="s">
        <v>100</v>
      </c>
      <c r="H27" s="7" t="s">
        <v>101</v>
      </c>
      <c r="I27" s="7" t="s">
        <v>71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5.5" x14ac:dyDescent="0.35">
      <c r="A28" s="9">
        <v>27</v>
      </c>
      <c r="B28" s="14" t="s">
        <v>104</v>
      </c>
      <c r="C28" s="4" t="s">
        <v>105</v>
      </c>
      <c r="D28" s="5" t="s">
        <v>37</v>
      </c>
      <c r="E28" s="6" t="s">
        <v>98</v>
      </c>
      <c r="F28" s="6" t="s">
        <v>99</v>
      </c>
      <c r="G28" s="7" t="s">
        <v>100</v>
      </c>
      <c r="H28" s="7" t="s">
        <v>101</v>
      </c>
      <c r="I28" s="7" t="s">
        <v>71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5.5" x14ac:dyDescent="0.35">
      <c r="A29" s="9">
        <v>28</v>
      </c>
      <c r="B29" s="10" t="s">
        <v>106</v>
      </c>
      <c r="C29" s="6" t="s">
        <v>107</v>
      </c>
      <c r="D29" s="5" t="s">
        <v>40</v>
      </c>
      <c r="E29" s="6" t="s">
        <v>108</v>
      </c>
      <c r="F29" s="6" t="s">
        <v>109</v>
      </c>
      <c r="G29" s="7" t="s">
        <v>100</v>
      </c>
      <c r="H29" s="7" t="s">
        <v>101</v>
      </c>
      <c r="I29" s="7" t="s">
        <v>71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5.5" x14ac:dyDescent="0.35">
      <c r="A30" s="9">
        <v>29</v>
      </c>
      <c r="B30" s="3" t="s">
        <v>110</v>
      </c>
      <c r="C30" s="4" t="s">
        <v>111</v>
      </c>
      <c r="D30" s="5" t="s">
        <v>23</v>
      </c>
      <c r="E30" s="6" t="s">
        <v>112</v>
      </c>
      <c r="F30" s="6" t="s">
        <v>113</v>
      </c>
      <c r="G30" s="7" t="s">
        <v>101</v>
      </c>
      <c r="H30" s="7" t="s">
        <v>71</v>
      </c>
      <c r="I30" s="7" t="s">
        <v>71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5.5" x14ac:dyDescent="0.35">
      <c r="A31" s="9">
        <v>30</v>
      </c>
      <c r="B31" s="14" t="s">
        <v>114</v>
      </c>
      <c r="C31" s="6" t="s">
        <v>115</v>
      </c>
      <c r="D31" s="5">
        <v>10</v>
      </c>
      <c r="E31" s="6" t="s">
        <v>116</v>
      </c>
      <c r="F31" s="6" t="s">
        <v>117</v>
      </c>
      <c r="G31" s="7" t="s">
        <v>118</v>
      </c>
      <c r="H31" s="7" t="s">
        <v>119</v>
      </c>
      <c r="I31" s="7" t="s">
        <v>34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5.5" x14ac:dyDescent="0.35">
      <c r="A32" s="9">
        <v>31</v>
      </c>
      <c r="B32" s="3" t="s">
        <v>120</v>
      </c>
      <c r="C32" s="4" t="s">
        <v>121</v>
      </c>
      <c r="D32" s="5" t="s">
        <v>52</v>
      </c>
      <c r="E32" s="6" t="s">
        <v>116</v>
      </c>
      <c r="F32" s="6" t="s">
        <v>117</v>
      </c>
      <c r="G32" s="7" t="s">
        <v>118</v>
      </c>
      <c r="H32" s="7" t="s">
        <v>119</v>
      </c>
      <c r="I32" s="7" t="s">
        <v>34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5.5" x14ac:dyDescent="0.35">
      <c r="A33" s="9">
        <v>32</v>
      </c>
      <c r="B33" s="17" t="s">
        <v>122</v>
      </c>
      <c r="C33" s="4" t="s">
        <v>123</v>
      </c>
      <c r="D33" s="5" t="s">
        <v>23</v>
      </c>
      <c r="E33" s="6" t="s">
        <v>116</v>
      </c>
      <c r="F33" s="6" t="s">
        <v>117</v>
      </c>
      <c r="G33" s="7" t="s">
        <v>118</v>
      </c>
      <c r="H33" s="7" t="s">
        <v>119</v>
      </c>
      <c r="I33" s="7" t="s">
        <v>34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5.5" x14ac:dyDescent="0.35">
      <c r="A34" s="9">
        <v>33</v>
      </c>
      <c r="B34" s="3" t="s">
        <v>124</v>
      </c>
      <c r="C34" s="4" t="s">
        <v>125</v>
      </c>
      <c r="D34" s="5" t="s">
        <v>20</v>
      </c>
      <c r="E34" s="6" t="s">
        <v>116</v>
      </c>
      <c r="F34" s="6" t="s">
        <v>117</v>
      </c>
      <c r="G34" s="7" t="s">
        <v>118</v>
      </c>
      <c r="H34" s="7" t="s">
        <v>119</v>
      </c>
      <c r="I34" s="7" t="s">
        <v>34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46.5" x14ac:dyDescent="0.35">
      <c r="A35" s="9">
        <v>34</v>
      </c>
      <c r="B35" s="14" t="s">
        <v>126</v>
      </c>
      <c r="C35" s="4" t="s">
        <v>127</v>
      </c>
      <c r="D35" s="5" t="s">
        <v>20</v>
      </c>
      <c r="E35" s="6" t="s">
        <v>41</v>
      </c>
      <c r="F35" s="6" t="s">
        <v>42</v>
      </c>
      <c r="G35" s="11" t="s">
        <v>43</v>
      </c>
      <c r="H35" s="7" t="s">
        <v>44</v>
      </c>
      <c r="I35" s="7" t="s">
        <v>45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5.5" x14ac:dyDescent="0.35">
      <c r="A36" s="9">
        <v>35</v>
      </c>
      <c r="B36" s="14" t="s">
        <v>128</v>
      </c>
      <c r="C36" s="4" t="s">
        <v>129</v>
      </c>
      <c r="D36" s="5" t="s">
        <v>37</v>
      </c>
      <c r="E36" s="6" t="s">
        <v>130</v>
      </c>
      <c r="F36" s="4" t="s">
        <v>131</v>
      </c>
      <c r="G36" s="7" t="s">
        <v>118</v>
      </c>
      <c r="H36" s="7" t="s">
        <v>119</v>
      </c>
      <c r="I36" s="7" t="s">
        <v>34</v>
      </c>
      <c r="J36" s="7" t="s">
        <v>101</v>
      </c>
      <c r="K36" s="7" t="s">
        <v>71</v>
      </c>
      <c r="L36" s="7" t="s">
        <v>71</v>
      </c>
      <c r="M36" s="8"/>
      <c r="N36" s="8"/>
      <c r="O36" s="8"/>
      <c r="P36" s="8"/>
      <c r="Q36" s="8"/>
      <c r="R36" s="8"/>
      <c r="S36" s="8"/>
      <c r="T36" s="8"/>
      <c r="U36" s="8"/>
    </row>
    <row r="37" spans="1:21" ht="46.5" x14ac:dyDescent="0.35">
      <c r="A37" s="9">
        <v>36</v>
      </c>
      <c r="B37" s="10" t="s">
        <v>132</v>
      </c>
      <c r="C37" s="4" t="s">
        <v>133</v>
      </c>
      <c r="D37" s="5" t="s">
        <v>37</v>
      </c>
      <c r="E37" s="6" t="s">
        <v>82</v>
      </c>
      <c r="F37" s="6" t="s">
        <v>42</v>
      </c>
      <c r="G37" s="11" t="s">
        <v>43</v>
      </c>
      <c r="H37" s="7" t="s">
        <v>44</v>
      </c>
      <c r="I37" s="7" t="s">
        <v>45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5.5" x14ac:dyDescent="0.35">
      <c r="A38" s="9">
        <v>37</v>
      </c>
      <c r="B38" s="3" t="s">
        <v>134</v>
      </c>
      <c r="C38" s="4" t="s">
        <v>135</v>
      </c>
      <c r="D38" s="5" t="s">
        <v>76</v>
      </c>
      <c r="E38" s="6" t="s">
        <v>116</v>
      </c>
      <c r="F38" s="6" t="s">
        <v>117</v>
      </c>
      <c r="G38" s="7" t="s">
        <v>118</v>
      </c>
      <c r="H38" s="7" t="s">
        <v>119</v>
      </c>
      <c r="I38" s="7" t="s">
        <v>34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5.5" x14ac:dyDescent="0.35">
      <c r="A39" s="9">
        <v>38</v>
      </c>
      <c r="B39" s="3" t="s">
        <v>136</v>
      </c>
      <c r="C39" s="4" t="s">
        <v>137</v>
      </c>
      <c r="D39" s="5" t="s">
        <v>40</v>
      </c>
      <c r="E39" s="6" t="s">
        <v>116</v>
      </c>
      <c r="F39" s="6" t="s">
        <v>117</v>
      </c>
      <c r="G39" s="7" t="s">
        <v>118</v>
      </c>
      <c r="H39" s="7" t="s">
        <v>119</v>
      </c>
      <c r="I39" s="7" t="s">
        <v>34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5.5" x14ac:dyDescent="0.35">
      <c r="A40" s="9">
        <v>39</v>
      </c>
      <c r="B40" s="17" t="s">
        <v>138</v>
      </c>
      <c r="C40" s="4" t="s">
        <v>139</v>
      </c>
      <c r="D40" s="5" t="s">
        <v>29</v>
      </c>
      <c r="E40" s="6" t="s">
        <v>116</v>
      </c>
      <c r="F40" s="6" t="s">
        <v>117</v>
      </c>
      <c r="G40" s="7" t="s">
        <v>118</v>
      </c>
      <c r="H40" s="7" t="s">
        <v>119</v>
      </c>
      <c r="I40" s="7" t="s">
        <v>34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5.5" x14ac:dyDescent="0.35">
      <c r="A41" s="9">
        <v>40</v>
      </c>
      <c r="B41" s="14" t="s">
        <v>140</v>
      </c>
      <c r="C41" s="4" t="s">
        <v>141</v>
      </c>
      <c r="D41" s="5" t="s">
        <v>29</v>
      </c>
      <c r="E41" s="6" t="s">
        <v>116</v>
      </c>
      <c r="F41" s="6" t="s">
        <v>117</v>
      </c>
      <c r="G41" s="7" t="s">
        <v>118</v>
      </c>
      <c r="H41" s="7" t="s">
        <v>119</v>
      </c>
      <c r="I41" s="7" t="s">
        <v>34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5.5" x14ac:dyDescent="0.35">
      <c r="A42" s="9">
        <v>41</v>
      </c>
      <c r="B42" s="14" t="s">
        <v>142</v>
      </c>
      <c r="C42" s="4" t="s">
        <v>143</v>
      </c>
      <c r="D42" s="5" t="s">
        <v>29</v>
      </c>
      <c r="E42" s="6" t="s">
        <v>144</v>
      </c>
      <c r="F42" s="6" t="s">
        <v>113</v>
      </c>
      <c r="G42" s="7" t="s">
        <v>101</v>
      </c>
      <c r="H42" s="7" t="s">
        <v>71</v>
      </c>
      <c r="I42" s="7" t="s">
        <v>71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5.5" x14ac:dyDescent="0.35">
      <c r="A43" s="9">
        <v>42</v>
      </c>
      <c r="B43" s="3" t="s">
        <v>145</v>
      </c>
      <c r="C43" s="4" t="s">
        <v>146</v>
      </c>
      <c r="D43" s="5" t="s">
        <v>76</v>
      </c>
      <c r="E43" s="6" t="s">
        <v>116</v>
      </c>
      <c r="F43" s="6" t="s">
        <v>117</v>
      </c>
      <c r="G43" s="7" t="s">
        <v>118</v>
      </c>
      <c r="H43" s="7" t="s">
        <v>119</v>
      </c>
      <c r="I43" s="7" t="s">
        <v>34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5.5" x14ac:dyDescent="0.35">
      <c r="A44" s="9">
        <v>43</v>
      </c>
      <c r="B44" s="3" t="s">
        <v>147</v>
      </c>
      <c r="C44" s="4" t="s">
        <v>148</v>
      </c>
      <c r="D44" s="5" t="s">
        <v>29</v>
      </c>
      <c r="E44" s="6" t="s">
        <v>116</v>
      </c>
      <c r="F44" s="6" t="s">
        <v>117</v>
      </c>
      <c r="G44" s="7" t="s">
        <v>118</v>
      </c>
      <c r="H44" s="7" t="s">
        <v>119</v>
      </c>
      <c r="I44" s="7" t="s">
        <v>34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5.5" x14ac:dyDescent="0.35">
      <c r="A45" s="9">
        <v>44</v>
      </c>
      <c r="B45" s="14" t="s">
        <v>149</v>
      </c>
      <c r="C45" s="6" t="s">
        <v>150</v>
      </c>
      <c r="D45" s="5">
        <v>10</v>
      </c>
      <c r="E45" s="6" t="s">
        <v>151</v>
      </c>
      <c r="F45" s="6" t="s">
        <v>152</v>
      </c>
      <c r="G45" s="7" t="s">
        <v>153</v>
      </c>
      <c r="H45" s="7" t="s">
        <v>154</v>
      </c>
      <c r="I45" s="7" t="s">
        <v>155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5.5" x14ac:dyDescent="0.35">
      <c r="A46" s="9">
        <v>45</v>
      </c>
      <c r="B46" s="10" t="s">
        <v>156</v>
      </c>
      <c r="C46" s="6" t="s">
        <v>157</v>
      </c>
      <c r="D46" s="5" t="s">
        <v>37</v>
      </c>
      <c r="E46" s="6" t="s">
        <v>151</v>
      </c>
      <c r="F46" s="6" t="s">
        <v>152</v>
      </c>
      <c r="G46" s="7" t="s">
        <v>153</v>
      </c>
      <c r="H46" s="7" t="s">
        <v>154</v>
      </c>
      <c r="I46" s="7" t="s">
        <v>155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5.5" x14ac:dyDescent="0.35">
      <c r="A47" s="9">
        <v>46</v>
      </c>
      <c r="B47" s="14" t="s">
        <v>158</v>
      </c>
      <c r="C47" s="4" t="s">
        <v>159</v>
      </c>
      <c r="D47" s="5" t="s">
        <v>40</v>
      </c>
      <c r="E47" s="6" t="s">
        <v>151</v>
      </c>
      <c r="F47" s="6" t="s">
        <v>152</v>
      </c>
      <c r="G47" s="7" t="s">
        <v>153</v>
      </c>
      <c r="H47" s="7" t="s">
        <v>154</v>
      </c>
      <c r="I47" s="7" t="s">
        <v>155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5.5" x14ac:dyDescent="0.35">
      <c r="A48" s="9">
        <v>47</v>
      </c>
      <c r="B48" s="17" t="s">
        <v>160</v>
      </c>
      <c r="C48" s="4" t="s">
        <v>161</v>
      </c>
      <c r="D48" s="5" t="s">
        <v>29</v>
      </c>
      <c r="E48" s="6" t="s">
        <v>162</v>
      </c>
      <c r="F48" s="6" t="s">
        <v>99</v>
      </c>
      <c r="G48" s="7" t="s">
        <v>100</v>
      </c>
      <c r="H48" s="7" t="s">
        <v>101</v>
      </c>
      <c r="I48" s="7" t="s">
        <v>71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5.5" x14ac:dyDescent="0.35">
      <c r="A49" s="9">
        <v>48</v>
      </c>
      <c r="B49" s="17" t="s">
        <v>163</v>
      </c>
      <c r="C49" s="4" t="s">
        <v>164</v>
      </c>
      <c r="D49" s="5" t="s">
        <v>29</v>
      </c>
      <c r="E49" s="6" t="s">
        <v>116</v>
      </c>
      <c r="F49" s="6" t="s">
        <v>117</v>
      </c>
      <c r="G49" s="7" t="s">
        <v>118</v>
      </c>
      <c r="H49" s="7" t="s">
        <v>119</v>
      </c>
      <c r="I49" s="7" t="s">
        <v>34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5.5" x14ac:dyDescent="0.35">
      <c r="A50" s="9">
        <v>49</v>
      </c>
      <c r="B50" s="17" t="s">
        <v>165</v>
      </c>
      <c r="C50" s="4" t="s">
        <v>166</v>
      </c>
      <c r="D50" s="5" t="s">
        <v>29</v>
      </c>
      <c r="E50" s="6" t="s">
        <v>116</v>
      </c>
      <c r="F50" s="6" t="s">
        <v>117</v>
      </c>
      <c r="G50" s="7" t="s">
        <v>118</v>
      </c>
      <c r="H50" s="7" t="s">
        <v>119</v>
      </c>
      <c r="I50" s="7" t="s">
        <v>34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5.5" x14ac:dyDescent="0.35">
      <c r="A51" s="9">
        <v>50</v>
      </c>
      <c r="B51" s="17" t="s">
        <v>167</v>
      </c>
      <c r="C51" s="4" t="s">
        <v>168</v>
      </c>
      <c r="D51" s="5" t="s">
        <v>29</v>
      </c>
      <c r="E51" s="6" t="s">
        <v>144</v>
      </c>
      <c r="F51" s="6" t="s">
        <v>113</v>
      </c>
      <c r="G51" s="7" t="s">
        <v>100</v>
      </c>
      <c r="H51" s="7" t="s">
        <v>101</v>
      </c>
      <c r="I51" s="7" t="s">
        <v>71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5.5" x14ac:dyDescent="0.35">
      <c r="A52" s="9">
        <v>51</v>
      </c>
      <c r="B52" s="10" t="s">
        <v>169</v>
      </c>
      <c r="C52" s="6" t="s">
        <v>170</v>
      </c>
      <c r="D52" s="5" t="s">
        <v>29</v>
      </c>
      <c r="E52" s="6" t="s">
        <v>162</v>
      </c>
      <c r="F52" s="6" t="s">
        <v>99</v>
      </c>
      <c r="G52" s="7" t="s">
        <v>100</v>
      </c>
      <c r="H52" s="7" t="s">
        <v>101</v>
      </c>
      <c r="I52" s="7" t="s">
        <v>71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5.5" x14ac:dyDescent="0.35">
      <c r="A53" s="9">
        <v>52</v>
      </c>
      <c r="B53" s="3" t="s">
        <v>171</v>
      </c>
      <c r="C53" s="4" t="s">
        <v>172</v>
      </c>
      <c r="D53" s="5" t="s">
        <v>20</v>
      </c>
      <c r="E53" s="6" t="s">
        <v>173</v>
      </c>
      <c r="F53" s="6" t="s">
        <v>174</v>
      </c>
      <c r="G53" s="7" t="s">
        <v>175</v>
      </c>
      <c r="H53" s="7" t="s">
        <v>71</v>
      </c>
      <c r="I53" s="7" t="s">
        <v>71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5.5" x14ac:dyDescent="0.35">
      <c r="A54" s="9">
        <v>53</v>
      </c>
      <c r="B54" s="3" t="s">
        <v>176</v>
      </c>
      <c r="C54" s="4" t="s">
        <v>177</v>
      </c>
      <c r="D54" s="5" t="s">
        <v>178</v>
      </c>
      <c r="E54" s="4" t="s">
        <v>179</v>
      </c>
      <c r="F54" s="6" t="s">
        <v>180</v>
      </c>
      <c r="G54" s="7" t="s">
        <v>181</v>
      </c>
      <c r="H54" s="7" t="s">
        <v>34</v>
      </c>
      <c r="I54" s="7" t="s">
        <v>34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5.5" x14ac:dyDescent="0.35">
      <c r="A55" s="9">
        <v>54</v>
      </c>
      <c r="B55" s="3" t="s">
        <v>182</v>
      </c>
      <c r="C55" s="6" t="s">
        <v>183</v>
      </c>
      <c r="D55" s="5" t="s">
        <v>37</v>
      </c>
      <c r="E55" s="4" t="s">
        <v>179</v>
      </c>
      <c r="F55" s="6" t="s">
        <v>180</v>
      </c>
      <c r="G55" s="7" t="s">
        <v>181</v>
      </c>
      <c r="H55" s="7" t="s">
        <v>34</v>
      </c>
      <c r="I55" s="7" t="s">
        <v>34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5.5" x14ac:dyDescent="0.35">
      <c r="A56" s="9">
        <v>55</v>
      </c>
      <c r="B56" s="18" t="s">
        <v>184</v>
      </c>
      <c r="C56" s="4" t="s">
        <v>185</v>
      </c>
      <c r="D56" s="5" t="s">
        <v>40</v>
      </c>
      <c r="E56" s="4" t="s">
        <v>179</v>
      </c>
      <c r="F56" s="6" t="s">
        <v>180</v>
      </c>
      <c r="G56" s="7" t="s">
        <v>181</v>
      </c>
      <c r="H56" s="7" t="s">
        <v>34</v>
      </c>
      <c r="I56" s="7" t="s">
        <v>34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5.5" x14ac:dyDescent="0.35">
      <c r="A57" s="9">
        <v>56</v>
      </c>
      <c r="B57" s="18" t="s">
        <v>186</v>
      </c>
      <c r="C57" s="4" t="s">
        <v>187</v>
      </c>
      <c r="D57" s="5" t="s">
        <v>40</v>
      </c>
      <c r="E57" s="4" t="s">
        <v>179</v>
      </c>
      <c r="F57" s="6" t="s">
        <v>180</v>
      </c>
      <c r="G57" s="7" t="s">
        <v>181</v>
      </c>
      <c r="H57" s="7" t="s">
        <v>34</v>
      </c>
      <c r="I57" s="7" t="s">
        <v>34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5.5" x14ac:dyDescent="0.35">
      <c r="A58" s="9">
        <v>57</v>
      </c>
      <c r="B58" s="14" t="s">
        <v>188</v>
      </c>
      <c r="C58" s="4" t="s">
        <v>189</v>
      </c>
      <c r="D58" s="5" t="s">
        <v>76</v>
      </c>
      <c r="E58" s="6" t="s">
        <v>190</v>
      </c>
      <c r="F58" s="6" t="s">
        <v>191</v>
      </c>
      <c r="G58" s="7" t="s">
        <v>89</v>
      </c>
      <c r="H58" s="13" t="s">
        <v>90</v>
      </c>
      <c r="I58" s="13" t="s">
        <v>90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5.5" x14ac:dyDescent="0.35">
      <c r="A59" s="9">
        <v>58</v>
      </c>
      <c r="B59" s="14" t="s">
        <v>192</v>
      </c>
      <c r="C59" s="4" t="s">
        <v>193</v>
      </c>
      <c r="D59" s="5" t="s">
        <v>194</v>
      </c>
      <c r="E59" s="6" t="s">
        <v>190</v>
      </c>
      <c r="F59" s="6" t="s">
        <v>195</v>
      </c>
      <c r="G59" s="7" t="s">
        <v>196</v>
      </c>
      <c r="H59" s="7" t="s">
        <v>90</v>
      </c>
      <c r="I59" s="7" t="s">
        <v>90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5.5" x14ac:dyDescent="0.35">
      <c r="A60" s="9">
        <v>59</v>
      </c>
      <c r="B60" s="3" t="s">
        <v>197</v>
      </c>
      <c r="C60" s="4" t="s">
        <v>198</v>
      </c>
      <c r="D60" s="5" t="s">
        <v>194</v>
      </c>
      <c r="E60" s="6" t="s">
        <v>199</v>
      </c>
      <c r="F60" s="4" t="s">
        <v>200</v>
      </c>
      <c r="G60" s="7" t="s">
        <v>79</v>
      </c>
      <c r="H60" s="7" t="s">
        <v>44</v>
      </c>
      <c r="I60" s="7" t="s">
        <v>45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46.5" x14ac:dyDescent="0.35">
      <c r="A61" s="9">
        <v>60</v>
      </c>
      <c r="B61" s="19" t="s">
        <v>201</v>
      </c>
      <c r="C61" s="6" t="s">
        <v>202</v>
      </c>
      <c r="D61" s="5">
        <v>14</v>
      </c>
      <c r="E61" s="6" t="s">
        <v>82</v>
      </c>
      <c r="F61" s="6" t="s">
        <v>42</v>
      </c>
      <c r="G61" s="11" t="s">
        <v>43</v>
      </c>
      <c r="H61" s="7" t="s">
        <v>44</v>
      </c>
      <c r="I61" s="7" t="s">
        <v>45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46.5" x14ac:dyDescent="0.35">
      <c r="A62" s="9">
        <v>61</v>
      </c>
      <c r="B62" s="19" t="s">
        <v>203</v>
      </c>
      <c r="C62" s="6" t="s">
        <v>204</v>
      </c>
      <c r="D62" s="5">
        <v>12</v>
      </c>
      <c r="E62" s="6" t="s">
        <v>82</v>
      </c>
      <c r="F62" s="6" t="s">
        <v>42</v>
      </c>
      <c r="G62" s="11" t="s">
        <v>43</v>
      </c>
      <c r="H62" s="7" t="s">
        <v>44</v>
      </c>
      <c r="I62" s="7" t="s">
        <v>45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5.5" x14ac:dyDescent="0.35">
      <c r="A63" s="9">
        <v>62</v>
      </c>
      <c r="B63" s="18" t="s">
        <v>205</v>
      </c>
      <c r="C63" s="4" t="s">
        <v>206</v>
      </c>
      <c r="D63" s="20">
        <v>0</v>
      </c>
      <c r="E63" s="4" t="s">
        <v>179</v>
      </c>
      <c r="F63" s="6" t="s">
        <v>180</v>
      </c>
      <c r="G63" s="7" t="s">
        <v>181</v>
      </c>
      <c r="H63" s="7" t="s">
        <v>34</v>
      </c>
      <c r="I63" s="7" t="s">
        <v>34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46.5" x14ac:dyDescent="0.35">
      <c r="A64" s="9">
        <v>63</v>
      </c>
      <c r="B64" s="14" t="s">
        <v>207</v>
      </c>
      <c r="C64" s="4" t="s">
        <v>208</v>
      </c>
      <c r="D64" s="5" t="s">
        <v>29</v>
      </c>
      <c r="E64" s="6" t="s">
        <v>41</v>
      </c>
      <c r="F64" s="6" t="s">
        <v>42</v>
      </c>
      <c r="G64" s="11" t="s">
        <v>43</v>
      </c>
      <c r="H64" s="7" t="s">
        <v>44</v>
      </c>
      <c r="I64" s="7" t="s">
        <v>45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5.5" x14ac:dyDescent="0.35">
      <c r="A65" s="9">
        <v>64</v>
      </c>
      <c r="B65" s="3" t="s">
        <v>209</v>
      </c>
      <c r="C65" s="4" t="s">
        <v>210</v>
      </c>
      <c r="D65" s="5" t="s">
        <v>20</v>
      </c>
      <c r="E65" s="4" t="s">
        <v>211</v>
      </c>
      <c r="F65" s="6" t="s">
        <v>212</v>
      </c>
      <c r="G65" s="7" t="s">
        <v>213</v>
      </c>
      <c r="H65" s="7" t="s">
        <v>155</v>
      </c>
      <c r="I65" s="7" t="s">
        <v>155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5.5" x14ac:dyDescent="0.35">
      <c r="A66" s="9">
        <v>65</v>
      </c>
      <c r="B66" s="3" t="s">
        <v>214</v>
      </c>
      <c r="C66" s="4" t="s">
        <v>215</v>
      </c>
      <c r="D66" s="5" t="s">
        <v>29</v>
      </c>
      <c r="E66" s="4" t="s">
        <v>211</v>
      </c>
      <c r="F66" s="6" t="s">
        <v>212</v>
      </c>
      <c r="G66" s="7" t="s">
        <v>213</v>
      </c>
      <c r="H66" s="7" t="s">
        <v>155</v>
      </c>
      <c r="I66" s="7" t="s">
        <v>155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46.5" x14ac:dyDescent="0.35">
      <c r="A67" s="9">
        <v>66</v>
      </c>
      <c r="B67" s="10" t="s">
        <v>216</v>
      </c>
      <c r="C67" s="6" t="s">
        <v>217</v>
      </c>
      <c r="D67" s="5" t="s">
        <v>23</v>
      </c>
      <c r="E67" s="6" t="s">
        <v>41</v>
      </c>
      <c r="F67" s="6" t="s">
        <v>42</v>
      </c>
      <c r="G67" s="11" t="s">
        <v>43</v>
      </c>
      <c r="H67" s="7" t="s">
        <v>44</v>
      </c>
      <c r="I67" s="7" t="s">
        <v>45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46.5" x14ac:dyDescent="0.35">
      <c r="A68" s="9">
        <v>67</v>
      </c>
      <c r="B68" s="21" t="s">
        <v>218</v>
      </c>
      <c r="C68" s="4" t="s">
        <v>219</v>
      </c>
      <c r="D68" s="5">
        <v>0</v>
      </c>
      <c r="E68" s="6" t="s">
        <v>41</v>
      </c>
      <c r="F68" s="6" t="s">
        <v>42</v>
      </c>
      <c r="G68" s="11" t="s">
        <v>43</v>
      </c>
      <c r="H68" s="7" t="s">
        <v>44</v>
      </c>
      <c r="I68" s="7" t="s">
        <v>45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5.5" x14ac:dyDescent="0.35">
      <c r="A69" s="9">
        <v>68</v>
      </c>
      <c r="B69" s="10" t="s">
        <v>220</v>
      </c>
      <c r="C69" s="4" t="s">
        <v>221</v>
      </c>
      <c r="D69" s="5" t="s">
        <v>29</v>
      </c>
      <c r="E69" s="4" t="s">
        <v>211</v>
      </c>
      <c r="F69" s="6" t="s">
        <v>212</v>
      </c>
      <c r="G69" s="7" t="s">
        <v>213</v>
      </c>
      <c r="H69" s="7" t="s">
        <v>155</v>
      </c>
      <c r="I69" s="7" t="s">
        <v>155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5.5" x14ac:dyDescent="0.35">
      <c r="A70" s="9">
        <v>69</v>
      </c>
      <c r="B70" s="3" t="s">
        <v>222</v>
      </c>
      <c r="C70" s="4" t="s">
        <v>223</v>
      </c>
      <c r="D70" s="5" t="s">
        <v>224</v>
      </c>
      <c r="E70" s="4" t="s">
        <v>211</v>
      </c>
      <c r="F70" s="6" t="s">
        <v>212</v>
      </c>
      <c r="G70" s="7" t="s">
        <v>213</v>
      </c>
      <c r="H70" s="7" t="s">
        <v>155</v>
      </c>
      <c r="I70" s="7" t="s">
        <v>155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5.5" x14ac:dyDescent="0.35">
      <c r="A71" s="9">
        <v>70</v>
      </c>
      <c r="B71" s="3" t="s">
        <v>225</v>
      </c>
      <c r="C71" s="4" t="s">
        <v>226</v>
      </c>
      <c r="D71" s="5">
        <v>0</v>
      </c>
      <c r="E71" s="4" t="s">
        <v>227</v>
      </c>
      <c r="F71" s="6" t="s">
        <v>56</v>
      </c>
      <c r="G71" s="7" t="s">
        <v>57</v>
      </c>
      <c r="H71" s="13" t="s">
        <v>44</v>
      </c>
      <c r="I71" s="13" t="s">
        <v>45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31" x14ac:dyDescent="0.35">
      <c r="A72" s="9">
        <v>71</v>
      </c>
      <c r="B72" s="14" t="s">
        <v>228</v>
      </c>
      <c r="C72" s="4" t="s">
        <v>229</v>
      </c>
      <c r="D72" s="5">
        <v>16</v>
      </c>
      <c r="E72" s="6" t="s">
        <v>230</v>
      </c>
      <c r="F72" s="6" t="s">
        <v>231</v>
      </c>
      <c r="G72" s="22" t="s">
        <v>232</v>
      </c>
      <c r="H72" s="23" t="s">
        <v>233</v>
      </c>
      <c r="I72" s="23" t="s">
        <v>234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5.5" x14ac:dyDescent="0.35">
      <c r="A73" s="9">
        <v>72</v>
      </c>
      <c r="B73" s="14" t="s">
        <v>235</v>
      </c>
      <c r="C73" s="4" t="s">
        <v>236</v>
      </c>
      <c r="D73" s="5" t="s">
        <v>76</v>
      </c>
      <c r="E73" s="6" t="s">
        <v>190</v>
      </c>
      <c r="F73" s="6" t="s">
        <v>195</v>
      </c>
      <c r="G73" s="7" t="s">
        <v>196</v>
      </c>
      <c r="H73" s="7" t="s">
        <v>90</v>
      </c>
      <c r="I73" s="7" t="s">
        <v>90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5.5" x14ac:dyDescent="0.35">
      <c r="A74" s="9">
        <v>73</v>
      </c>
      <c r="B74" s="14" t="s">
        <v>237</v>
      </c>
      <c r="C74" s="4" t="s">
        <v>238</v>
      </c>
      <c r="D74" s="5" t="s">
        <v>20</v>
      </c>
      <c r="E74" s="6" t="s">
        <v>190</v>
      </c>
      <c r="F74" s="6" t="s">
        <v>195</v>
      </c>
      <c r="G74" s="7" t="s">
        <v>196</v>
      </c>
      <c r="H74" s="7" t="s">
        <v>90</v>
      </c>
      <c r="I74" s="7" t="s">
        <v>90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5.5" x14ac:dyDescent="0.35">
      <c r="A75" s="9">
        <v>74</v>
      </c>
      <c r="B75" s="14" t="s">
        <v>239</v>
      </c>
      <c r="C75" s="4" t="s">
        <v>240</v>
      </c>
      <c r="D75" s="5" t="s">
        <v>17</v>
      </c>
      <c r="E75" s="6" t="s">
        <v>190</v>
      </c>
      <c r="F75" s="6" t="s">
        <v>195</v>
      </c>
      <c r="G75" s="7" t="s">
        <v>196</v>
      </c>
      <c r="H75" s="7" t="s">
        <v>90</v>
      </c>
      <c r="I75" s="7" t="s">
        <v>90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5.5" x14ac:dyDescent="0.35">
      <c r="A76" s="9">
        <v>75</v>
      </c>
      <c r="B76" s="3" t="s">
        <v>241</v>
      </c>
      <c r="C76" s="4" t="s">
        <v>242</v>
      </c>
      <c r="D76" s="5" t="s">
        <v>194</v>
      </c>
      <c r="E76" s="6" t="s">
        <v>243</v>
      </c>
      <c r="F76" s="6" t="s">
        <v>56</v>
      </c>
      <c r="G76" s="7" t="s">
        <v>57</v>
      </c>
      <c r="H76" s="13" t="s">
        <v>44</v>
      </c>
      <c r="I76" s="13" t="s">
        <v>45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5.5" x14ac:dyDescent="0.35">
      <c r="A77" s="9">
        <v>76</v>
      </c>
      <c r="B77" s="3" t="s">
        <v>244</v>
      </c>
      <c r="C77" s="4" t="s">
        <v>245</v>
      </c>
      <c r="D77" s="5" t="s">
        <v>76</v>
      </c>
      <c r="E77" s="6" t="s">
        <v>190</v>
      </c>
      <c r="F77" s="6" t="s">
        <v>195</v>
      </c>
      <c r="G77" s="7" t="s">
        <v>196</v>
      </c>
      <c r="H77" s="7" t="s">
        <v>90</v>
      </c>
      <c r="I77" s="7" t="s">
        <v>90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5.5" x14ac:dyDescent="0.35">
      <c r="A78" s="9">
        <v>77</v>
      </c>
      <c r="B78" s="3" t="s">
        <v>246</v>
      </c>
      <c r="C78" s="4" t="s">
        <v>247</v>
      </c>
      <c r="D78" s="5">
        <v>11</v>
      </c>
      <c r="E78" s="6" t="s">
        <v>248</v>
      </c>
      <c r="F78" s="6" t="s">
        <v>56</v>
      </c>
      <c r="G78" s="7" t="s">
        <v>57</v>
      </c>
      <c r="H78" s="13" t="s">
        <v>44</v>
      </c>
      <c r="I78" s="13" t="s">
        <v>45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5.5" x14ac:dyDescent="0.35">
      <c r="A79" s="9">
        <v>78</v>
      </c>
      <c r="B79" s="14" t="s">
        <v>249</v>
      </c>
      <c r="C79" s="4" t="s">
        <v>250</v>
      </c>
      <c r="D79" s="5" t="s">
        <v>37</v>
      </c>
      <c r="E79" s="4" t="s">
        <v>251</v>
      </c>
      <c r="F79" s="4" t="s">
        <v>252</v>
      </c>
      <c r="G79" s="7" t="s">
        <v>253</v>
      </c>
      <c r="H79" s="7" t="s">
        <v>44</v>
      </c>
      <c r="I79" s="7" t="s">
        <v>45</v>
      </c>
      <c r="J79" s="7" t="s">
        <v>254</v>
      </c>
      <c r="K79" s="7" t="s">
        <v>255</v>
      </c>
      <c r="L79" s="7" t="s">
        <v>255</v>
      </c>
      <c r="M79" s="8"/>
      <c r="N79" s="8"/>
      <c r="O79" s="8"/>
      <c r="P79" s="8"/>
      <c r="Q79" s="8"/>
      <c r="R79" s="8"/>
      <c r="S79" s="8"/>
      <c r="T79" s="8"/>
      <c r="U79" s="8"/>
    </row>
    <row r="80" spans="1:21" ht="15.5" x14ac:dyDescent="0.35">
      <c r="A80" s="9">
        <v>79</v>
      </c>
      <c r="B80" s="3" t="s">
        <v>256</v>
      </c>
      <c r="C80" s="4" t="s">
        <v>257</v>
      </c>
      <c r="D80" s="5" t="s">
        <v>194</v>
      </c>
      <c r="E80" s="6" t="s">
        <v>190</v>
      </c>
      <c r="F80" s="6" t="s">
        <v>191</v>
      </c>
      <c r="G80" s="7" t="s">
        <v>89</v>
      </c>
      <c r="H80" s="13" t="s">
        <v>90</v>
      </c>
      <c r="I80" s="13" t="s">
        <v>90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5.5" x14ac:dyDescent="0.35">
      <c r="A81" s="9">
        <v>80</v>
      </c>
      <c r="B81" s="10" t="s">
        <v>258</v>
      </c>
      <c r="C81" s="4" t="s">
        <v>259</v>
      </c>
      <c r="D81" s="5" t="s">
        <v>37</v>
      </c>
      <c r="E81" s="6" t="s">
        <v>190</v>
      </c>
      <c r="F81" s="6" t="s">
        <v>191</v>
      </c>
      <c r="G81" s="7" t="s">
        <v>89</v>
      </c>
      <c r="H81" s="13" t="s">
        <v>90</v>
      </c>
      <c r="I81" s="13" t="s">
        <v>90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5.5" x14ac:dyDescent="0.35">
      <c r="A82" s="9">
        <v>81</v>
      </c>
      <c r="B82" s="3" t="s">
        <v>260</v>
      </c>
      <c r="C82" s="4" t="s">
        <v>261</v>
      </c>
      <c r="D82" s="5" t="s">
        <v>29</v>
      </c>
      <c r="E82" s="6" t="s">
        <v>190</v>
      </c>
      <c r="F82" s="6" t="s">
        <v>191</v>
      </c>
      <c r="G82" s="7" t="s">
        <v>89</v>
      </c>
      <c r="H82" s="13" t="s">
        <v>90</v>
      </c>
      <c r="I82" s="13" t="s">
        <v>90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5.5" x14ac:dyDescent="0.35">
      <c r="A83" s="9">
        <v>82</v>
      </c>
      <c r="B83" s="3" t="s">
        <v>262</v>
      </c>
      <c r="C83" s="4" t="s">
        <v>263</v>
      </c>
      <c r="D83" s="5" t="s">
        <v>20</v>
      </c>
      <c r="E83" s="4" t="s">
        <v>179</v>
      </c>
      <c r="F83" s="6" t="s">
        <v>180</v>
      </c>
      <c r="G83" s="7" t="s">
        <v>181</v>
      </c>
      <c r="H83" s="7" t="s">
        <v>34</v>
      </c>
      <c r="I83" s="7" t="s">
        <v>34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5.5" x14ac:dyDescent="0.35">
      <c r="A84" s="9">
        <v>83</v>
      </c>
      <c r="B84" s="14" t="s">
        <v>264</v>
      </c>
      <c r="C84" s="4" t="s">
        <v>265</v>
      </c>
      <c r="D84" s="5" t="s">
        <v>29</v>
      </c>
      <c r="E84" s="6" t="s">
        <v>190</v>
      </c>
      <c r="F84" s="6" t="s">
        <v>195</v>
      </c>
      <c r="G84" s="7" t="s">
        <v>196</v>
      </c>
      <c r="H84" s="7" t="s">
        <v>90</v>
      </c>
      <c r="I84" s="7" t="s">
        <v>90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46.5" x14ac:dyDescent="0.35">
      <c r="A85" s="9">
        <v>84</v>
      </c>
      <c r="B85" s="24" t="s">
        <v>266</v>
      </c>
      <c r="C85" s="4" t="s">
        <v>267</v>
      </c>
      <c r="D85" s="5" t="s">
        <v>29</v>
      </c>
      <c r="E85" s="6" t="s">
        <v>41</v>
      </c>
      <c r="F85" s="6" t="s">
        <v>42</v>
      </c>
      <c r="G85" s="11" t="s">
        <v>43</v>
      </c>
      <c r="H85" s="7" t="s">
        <v>44</v>
      </c>
      <c r="I85" s="7" t="s">
        <v>45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46.5" x14ac:dyDescent="0.35">
      <c r="A86" s="9">
        <v>85</v>
      </c>
      <c r="B86" s="3" t="s">
        <v>268</v>
      </c>
      <c r="C86" s="4" t="s">
        <v>269</v>
      </c>
      <c r="D86" s="5" t="s">
        <v>270</v>
      </c>
      <c r="E86" s="6" t="s">
        <v>41</v>
      </c>
      <c r="F86" s="6" t="s">
        <v>42</v>
      </c>
      <c r="G86" s="11" t="s">
        <v>43</v>
      </c>
      <c r="H86" s="7" t="s">
        <v>44</v>
      </c>
      <c r="I86" s="7" t="s">
        <v>45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15.5" x14ac:dyDescent="0.35">
      <c r="A87" s="9">
        <v>86</v>
      </c>
      <c r="B87" s="14" t="s">
        <v>271</v>
      </c>
      <c r="C87" s="4" t="s">
        <v>272</v>
      </c>
      <c r="D87" s="15" t="s">
        <v>37</v>
      </c>
      <c r="E87" s="6" t="s">
        <v>55</v>
      </c>
      <c r="F87" s="6" t="s">
        <v>56</v>
      </c>
      <c r="G87" s="7" t="s">
        <v>57</v>
      </c>
      <c r="H87" s="13" t="s">
        <v>44</v>
      </c>
      <c r="I87" s="13" t="s">
        <v>45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5.5" x14ac:dyDescent="0.35">
      <c r="A88" s="9">
        <v>87</v>
      </c>
      <c r="B88" s="3" t="s">
        <v>273</v>
      </c>
      <c r="C88" s="6" t="s">
        <v>274</v>
      </c>
      <c r="D88" s="5" t="s">
        <v>194</v>
      </c>
      <c r="E88" s="6" t="s">
        <v>55</v>
      </c>
      <c r="F88" s="6" t="s">
        <v>56</v>
      </c>
      <c r="G88" s="7" t="s">
        <v>57</v>
      </c>
      <c r="H88" s="13" t="s">
        <v>44</v>
      </c>
      <c r="I88" s="13" t="s">
        <v>45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31" x14ac:dyDescent="0.35">
      <c r="A89" s="9">
        <v>88</v>
      </c>
      <c r="B89" s="14" t="s">
        <v>275</v>
      </c>
      <c r="C89" s="4" t="s">
        <v>276</v>
      </c>
      <c r="D89" s="5" t="s">
        <v>194</v>
      </c>
      <c r="E89" s="6" t="s">
        <v>277</v>
      </c>
      <c r="F89" s="6" t="s">
        <v>231</v>
      </c>
      <c r="G89" s="22" t="s">
        <v>232</v>
      </c>
      <c r="H89" s="23" t="s">
        <v>233</v>
      </c>
      <c r="I89" s="23" t="s">
        <v>234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31" x14ac:dyDescent="0.35">
      <c r="A90" s="9">
        <v>89</v>
      </c>
      <c r="B90" s="14" t="s">
        <v>278</v>
      </c>
      <c r="C90" s="4" t="s">
        <v>279</v>
      </c>
      <c r="D90" s="5" t="s">
        <v>20</v>
      </c>
      <c r="E90" s="6" t="s">
        <v>277</v>
      </c>
      <c r="F90" s="6" t="s">
        <v>231</v>
      </c>
      <c r="G90" s="22" t="s">
        <v>232</v>
      </c>
      <c r="H90" s="23" t="s">
        <v>233</v>
      </c>
      <c r="I90" s="23" t="s">
        <v>234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31" x14ac:dyDescent="0.35">
      <c r="A91" s="9">
        <v>90</v>
      </c>
      <c r="B91" s="17" t="s">
        <v>280</v>
      </c>
      <c r="C91" s="4" t="s">
        <v>281</v>
      </c>
      <c r="D91" s="5" t="s">
        <v>76</v>
      </c>
      <c r="E91" s="6" t="s">
        <v>277</v>
      </c>
      <c r="F91" s="6" t="s">
        <v>231</v>
      </c>
      <c r="G91" s="22" t="s">
        <v>232</v>
      </c>
      <c r="H91" s="23" t="s">
        <v>233</v>
      </c>
      <c r="I91" s="23" t="s">
        <v>234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31" x14ac:dyDescent="0.35">
      <c r="A92" s="9">
        <v>91</v>
      </c>
      <c r="B92" s="14" t="s">
        <v>282</v>
      </c>
      <c r="C92" s="4" t="s">
        <v>283</v>
      </c>
      <c r="D92" s="5" t="s">
        <v>23</v>
      </c>
      <c r="E92" s="6" t="s">
        <v>277</v>
      </c>
      <c r="F92" s="6" t="s">
        <v>231</v>
      </c>
      <c r="G92" s="22" t="s">
        <v>232</v>
      </c>
      <c r="H92" s="23" t="s">
        <v>233</v>
      </c>
      <c r="I92" s="23" t="s">
        <v>234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31" x14ac:dyDescent="0.35">
      <c r="A93" s="9">
        <v>92</v>
      </c>
      <c r="B93" s="17" t="s">
        <v>284</v>
      </c>
      <c r="C93" s="4" t="s">
        <v>285</v>
      </c>
      <c r="D93" s="5" t="s">
        <v>40</v>
      </c>
      <c r="E93" s="6" t="s">
        <v>277</v>
      </c>
      <c r="F93" s="6" t="s">
        <v>231</v>
      </c>
      <c r="G93" s="22" t="s">
        <v>232</v>
      </c>
      <c r="H93" s="23" t="s">
        <v>233</v>
      </c>
      <c r="I93" s="23" t="s">
        <v>234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15.5" x14ac:dyDescent="0.35">
      <c r="A94" s="9">
        <v>93</v>
      </c>
      <c r="B94" s="14" t="s">
        <v>286</v>
      </c>
      <c r="C94" s="4" t="s">
        <v>287</v>
      </c>
      <c r="D94" s="5" t="s">
        <v>23</v>
      </c>
      <c r="E94" s="6" t="s">
        <v>277</v>
      </c>
      <c r="F94" s="6" t="s">
        <v>288</v>
      </c>
      <c r="G94" s="7" t="s">
        <v>289</v>
      </c>
      <c r="H94" s="7" t="s">
        <v>233</v>
      </c>
      <c r="I94" s="7" t="s">
        <v>234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15.5" x14ac:dyDescent="0.35">
      <c r="A95" s="9">
        <v>94</v>
      </c>
      <c r="B95" s="14" t="s">
        <v>290</v>
      </c>
      <c r="C95" s="6" t="s">
        <v>291</v>
      </c>
      <c r="D95" s="5" t="s">
        <v>23</v>
      </c>
      <c r="E95" s="6" t="s">
        <v>292</v>
      </c>
      <c r="F95" s="6" t="s">
        <v>152</v>
      </c>
      <c r="G95" s="7" t="s">
        <v>153</v>
      </c>
      <c r="H95" s="7" t="s">
        <v>154</v>
      </c>
      <c r="I95" s="7" t="s">
        <v>155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31" x14ac:dyDescent="0.35">
      <c r="A96" s="9">
        <v>95</v>
      </c>
      <c r="B96" s="10" t="s">
        <v>293</v>
      </c>
      <c r="C96" s="6" t="s">
        <v>294</v>
      </c>
      <c r="D96" s="5" t="s">
        <v>23</v>
      </c>
      <c r="E96" s="6" t="s">
        <v>277</v>
      </c>
      <c r="F96" s="6" t="s">
        <v>231</v>
      </c>
      <c r="G96" s="22" t="s">
        <v>232</v>
      </c>
      <c r="H96" s="23" t="s">
        <v>233</v>
      </c>
      <c r="I96" s="23" t="s">
        <v>234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31" x14ac:dyDescent="0.35">
      <c r="A97" s="9">
        <v>96</v>
      </c>
      <c r="B97" s="14" t="s">
        <v>295</v>
      </c>
      <c r="C97" s="4" t="s">
        <v>296</v>
      </c>
      <c r="D97" s="5" t="s">
        <v>29</v>
      </c>
      <c r="E97" s="6" t="s">
        <v>277</v>
      </c>
      <c r="F97" s="6" t="s">
        <v>231</v>
      </c>
      <c r="G97" s="22" t="s">
        <v>232</v>
      </c>
      <c r="H97" s="23" t="s">
        <v>233</v>
      </c>
      <c r="I97" s="23" t="s">
        <v>234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31" x14ac:dyDescent="0.35">
      <c r="A98" s="9">
        <v>97</v>
      </c>
      <c r="B98" s="14" t="s">
        <v>297</v>
      </c>
      <c r="C98" s="4" t="s">
        <v>298</v>
      </c>
      <c r="D98" s="15" t="s">
        <v>40</v>
      </c>
      <c r="E98" s="4" t="s">
        <v>277</v>
      </c>
      <c r="F98" s="6" t="s">
        <v>231</v>
      </c>
      <c r="G98" s="22" t="s">
        <v>232</v>
      </c>
      <c r="H98" s="23" t="s">
        <v>233</v>
      </c>
      <c r="I98" s="23" t="s">
        <v>234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15.5" x14ac:dyDescent="0.35">
      <c r="A99" s="9">
        <v>98</v>
      </c>
      <c r="B99" s="25" t="s">
        <v>299</v>
      </c>
      <c r="C99" s="4" t="s">
        <v>300</v>
      </c>
      <c r="D99" s="5" t="s">
        <v>52</v>
      </c>
      <c r="E99" s="6" t="s">
        <v>301</v>
      </c>
      <c r="F99" s="6" t="s">
        <v>302</v>
      </c>
      <c r="G99" s="7" t="s">
        <v>254</v>
      </c>
      <c r="H99" s="7" t="s">
        <v>255</v>
      </c>
      <c r="I99" s="7" t="s">
        <v>255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31" x14ac:dyDescent="0.35">
      <c r="A100" s="9">
        <v>99</v>
      </c>
      <c r="B100" s="14" t="s">
        <v>303</v>
      </c>
      <c r="C100" s="4" t="s">
        <v>304</v>
      </c>
      <c r="D100" s="5" t="s">
        <v>40</v>
      </c>
      <c r="E100" s="6" t="s">
        <v>277</v>
      </c>
      <c r="F100" s="6" t="s">
        <v>231</v>
      </c>
      <c r="G100" s="22" t="s">
        <v>232</v>
      </c>
      <c r="H100" s="23" t="s">
        <v>233</v>
      </c>
      <c r="I100" s="23" t="s">
        <v>234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5.5" x14ac:dyDescent="0.35">
      <c r="A101" s="9">
        <v>100</v>
      </c>
      <c r="B101" s="14" t="s">
        <v>305</v>
      </c>
      <c r="C101" s="4" t="s">
        <v>306</v>
      </c>
      <c r="D101" s="5" t="s">
        <v>76</v>
      </c>
      <c r="E101" s="6" t="s">
        <v>301</v>
      </c>
      <c r="F101" s="6" t="s">
        <v>307</v>
      </c>
      <c r="G101" s="7" t="s">
        <v>308</v>
      </c>
      <c r="H101" s="7" t="s">
        <v>255</v>
      </c>
      <c r="I101" s="7" t="s">
        <v>255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5.5" x14ac:dyDescent="0.35">
      <c r="A102" s="9">
        <v>101</v>
      </c>
      <c r="B102" s="14" t="s">
        <v>309</v>
      </c>
      <c r="C102" s="4" t="s">
        <v>310</v>
      </c>
      <c r="D102" s="5" t="s">
        <v>20</v>
      </c>
      <c r="E102" s="6" t="s">
        <v>301</v>
      </c>
      <c r="F102" s="6" t="s">
        <v>302</v>
      </c>
      <c r="G102" s="7" t="s">
        <v>254</v>
      </c>
      <c r="H102" s="7" t="s">
        <v>255</v>
      </c>
      <c r="I102" s="7" t="s">
        <v>255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5.5" x14ac:dyDescent="0.35">
      <c r="A103" s="9">
        <v>102</v>
      </c>
      <c r="B103" s="14" t="s">
        <v>311</v>
      </c>
      <c r="C103" s="4" t="s">
        <v>312</v>
      </c>
      <c r="D103" s="5" t="s">
        <v>23</v>
      </c>
      <c r="E103" s="6" t="s">
        <v>301</v>
      </c>
      <c r="F103" s="6" t="s">
        <v>302</v>
      </c>
      <c r="G103" s="7" t="s">
        <v>254</v>
      </c>
      <c r="H103" s="7" t="s">
        <v>255</v>
      </c>
      <c r="I103" s="7" t="s">
        <v>255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5.5" x14ac:dyDescent="0.35">
      <c r="A104" s="9">
        <v>103</v>
      </c>
      <c r="B104" s="3" t="s">
        <v>313</v>
      </c>
      <c r="C104" s="4" t="s">
        <v>314</v>
      </c>
      <c r="D104" s="5" t="s">
        <v>20</v>
      </c>
      <c r="E104" s="6" t="s">
        <v>301</v>
      </c>
      <c r="F104" s="6" t="s">
        <v>302</v>
      </c>
      <c r="G104" s="7" t="s">
        <v>254</v>
      </c>
      <c r="H104" s="7" t="s">
        <v>255</v>
      </c>
      <c r="I104" s="7" t="s">
        <v>255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5.5" x14ac:dyDescent="0.35">
      <c r="A105" s="9">
        <v>104</v>
      </c>
      <c r="B105" s="14" t="s">
        <v>315</v>
      </c>
      <c r="C105" s="4" t="s">
        <v>316</v>
      </c>
      <c r="D105" s="5" t="s">
        <v>40</v>
      </c>
      <c r="E105" s="6" t="s">
        <v>301</v>
      </c>
      <c r="F105" s="6" t="s">
        <v>302</v>
      </c>
      <c r="G105" s="7" t="s">
        <v>254</v>
      </c>
      <c r="H105" s="7" t="s">
        <v>255</v>
      </c>
      <c r="I105" s="7" t="s">
        <v>255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5.5" x14ac:dyDescent="0.35">
      <c r="A106" s="9">
        <v>105</v>
      </c>
      <c r="B106" s="10" t="s">
        <v>317</v>
      </c>
      <c r="C106" s="4" t="s">
        <v>318</v>
      </c>
      <c r="D106" s="5" t="s">
        <v>76</v>
      </c>
      <c r="E106" s="6" t="s">
        <v>301</v>
      </c>
      <c r="F106" s="6" t="s">
        <v>302</v>
      </c>
      <c r="G106" s="7" t="s">
        <v>254</v>
      </c>
      <c r="H106" s="7" t="s">
        <v>255</v>
      </c>
      <c r="I106" s="7" t="s">
        <v>255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5.5" x14ac:dyDescent="0.35">
      <c r="A107" s="9">
        <v>106</v>
      </c>
      <c r="B107" s="14" t="s">
        <v>319</v>
      </c>
      <c r="C107" s="6" t="s">
        <v>320</v>
      </c>
      <c r="D107" s="5" t="s">
        <v>76</v>
      </c>
      <c r="E107" s="6" t="s">
        <v>301</v>
      </c>
      <c r="F107" s="6" t="s">
        <v>307</v>
      </c>
      <c r="G107" s="7" t="s">
        <v>308</v>
      </c>
      <c r="H107" s="7" t="s">
        <v>255</v>
      </c>
      <c r="I107" s="7" t="s">
        <v>255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5.5" x14ac:dyDescent="0.35">
      <c r="A108" s="9">
        <v>107</v>
      </c>
      <c r="B108" s="14" t="s">
        <v>321</v>
      </c>
      <c r="C108" s="4" t="s">
        <v>322</v>
      </c>
      <c r="D108" s="5" t="s">
        <v>23</v>
      </c>
      <c r="E108" s="6" t="s">
        <v>301</v>
      </c>
      <c r="F108" s="6" t="s">
        <v>302</v>
      </c>
      <c r="G108" s="7" t="s">
        <v>254</v>
      </c>
      <c r="H108" s="7" t="s">
        <v>255</v>
      </c>
      <c r="I108" s="7" t="s">
        <v>255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5.5" x14ac:dyDescent="0.35">
      <c r="A109" s="9">
        <v>108</v>
      </c>
      <c r="B109" s="14" t="s">
        <v>323</v>
      </c>
      <c r="C109" s="4" t="s">
        <v>324</v>
      </c>
      <c r="D109" s="5" t="s">
        <v>23</v>
      </c>
      <c r="E109" s="6" t="s">
        <v>301</v>
      </c>
      <c r="F109" s="6" t="s">
        <v>307</v>
      </c>
      <c r="G109" s="7" t="s">
        <v>308</v>
      </c>
      <c r="H109" s="7" t="s">
        <v>255</v>
      </c>
      <c r="I109" s="7" t="s">
        <v>255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5.5" x14ac:dyDescent="0.35">
      <c r="A110" s="9">
        <v>109</v>
      </c>
      <c r="B110" s="14" t="s">
        <v>325</v>
      </c>
      <c r="C110" s="4" t="s">
        <v>326</v>
      </c>
      <c r="D110" s="5">
        <v>20</v>
      </c>
      <c r="E110" s="6" t="s">
        <v>327</v>
      </c>
      <c r="F110" s="6" t="s">
        <v>328</v>
      </c>
      <c r="G110" s="7" t="s">
        <v>329</v>
      </c>
      <c r="H110" s="7" t="s">
        <v>330</v>
      </c>
      <c r="I110" s="7" t="s">
        <v>331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5.5" x14ac:dyDescent="0.35">
      <c r="A111" s="9">
        <v>110</v>
      </c>
      <c r="B111" s="3" t="s">
        <v>332</v>
      </c>
      <c r="C111" s="4" t="s">
        <v>333</v>
      </c>
      <c r="D111" s="5" t="s">
        <v>29</v>
      </c>
      <c r="E111" s="6" t="s">
        <v>301</v>
      </c>
      <c r="F111" s="6" t="s">
        <v>302</v>
      </c>
      <c r="G111" s="7" t="s">
        <v>254</v>
      </c>
      <c r="H111" s="7" t="s">
        <v>255</v>
      </c>
      <c r="I111" s="7" t="s">
        <v>255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5.5" x14ac:dyDescent="0.35">
      <c r="A112" s="9">
        <v>111</v>
      </c>
      <c r="B112" s="10" t="s">
        <v>334</v>
      </c>
      <c r="C112" s="6" t="s">
        <v>335</v>
      </c>
      <c r="D112" s="5">
        <v>10</v>
      </c>
      <c r="E112" s="6" t="s">
        <v>336</v>
      </c>
      <c r="F112" s="6" t="s">
        <v>337</v>
      </c>
      <c r="G112" s="7" t="s">
        <v>338</v>
      </c>
      <c r="H112" s="13" t="s">
        <v>71</v>
      </c>
      <c r="I112" s="13" t="s">
        <v>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5.5" x14ac:dyDescent="0.35">
      <c r="A113" s="9">
        <v>112</v>
      </c>
      <c r="B113" s="14" t="s">
        <v>339</v>
      </c>
      <c r="C113" s="4" t="s">
        <v>340</v>
      </c>
      <c r="D113" s="5" t="s">
        <v>29</v>
      </c>
      <c r="E113" s="6" t="s">
        <v>301</v>
      </c>
      <c r="F113" s="6" t="s">
        <v>302</v>
      </c>
      <c r="G113" s="7" t="s">
        <v>254</v>
      </c>
      <c r="H113" s="7" t="s">
        <v>255</v>
      </c>
      <c r="I113" s="7" t="s">
        <v>255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5.5" x14ac:dyDescent="0.35">
      <c r="A114" s="9">
        <v>113</v>
      </c>
      <c r="B114" s="3" t="s">
        <v>341</v>
      </c>
      <c r="C114" s="6" t="s">
        <v>342</v>
      </c>
      <c r="D114" s="5">
        <v>13</v>
      </c>
      <c r="E114" s="6" t="s">
        <v>336</v>
      </c>
      <c r="F114" s="6" t="s">
        <v>337</v>
      </c>
      <c r="G114" s="7" t="s">
        <v>338</v>
      </c>
      <c r="H114" s="13" t="s">
        <v>71</v>
      </c>
      <c r="I114" s="13" t="s">
        <v>71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5.5" x14ac:dyDescent="0.35">
      <c r="A115" s="9">
        <v>114</v>
      </c>
      <c r="B115" s="3" t="s">
        <v>343</v>
      </c>
      <c r="C115" s="4" t="s">
        <v>344</v>
      </c>
      <c r="D115" s="5">
        <v>11</v>
      </c>
      <c r="E115" s="6" t="s">
        <v>345</v>
      </c>
      <c r="F115" s="6" t="s">
        <v>346</v>
      </c>
      <c r="G115" s="7" t="s">
        <v>338</v>
      </c>
      <c r="H115" s="13" t="s">
        <v>71</v>
      </c>
      <c r="I115" s="13" t="s">
        <v>71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5.5" x14ac:dyDescent="0.35">
      <c r="A116" s="9">
        <v>115</v>
      </c>
      <c r="B116" s="3" t="s">
        <v>347</v>
      </c>
      <c r="C116" s="4" t="s">
        <v>348</v>
      </c>
      <c r="D116" s="5" t="s">
        <v>29</v>
      </c>
      <c r="E116" s="6" t="s">
        <v>349</v>
      </c>
      <c r="F116" s="4" t="s">
        <v>350</v>
      </c>
      <c r="G116" s="7" t="s">
        <v>13</v>
      </c>
      <c r="H116" s="7" t="s">
        <v>14</v>
      </c>
      <c r="I116" s="7" t="s">
        <v>14</v>
      </c>
      <c r="J116" s="7" t="s">
        <v>351</v>
      </c>
      <c r="K116" s="7" t="s">
        <v>71</v>
      </c>
      <c r="L116" s="7" t="s">
        <v>71</v>
      </c>
      <c r="M116" s="7" t="s">
        <v>79</v>
      </c>
      <c r="N116" s="7" t="s">
        <v>44</v>
      </c>
      <c r="O116" s="7" t="s">
        <v>45</v>
      </c>
      <c r="P116" s="7" t="s">
        <v>308</v>
      </c>
      <c r="Q116" s="7" t="s">
        <v>255</v>
      </c>
      <c r="R116" s="7" t="s">
        <v>255</v>
      </c>
      <c r="S116" s="7" t="s">
        <v>329</v>
      </c>
      <c r="T116" s="7" t="s">
        <v>330</v>
      </c>
      <c r="U116" s="7" t="s">
        <v>331</v>
      </c>
    </row>
    <row r="117" spans="1:21" ht="31" x14ac:dyDescent="0.35">
      <c r="A117" s="9">
        <v>116</v>
      </c>
      <c r="B117" s="3" t="s">
        <v>352</v>
      </c>
      <c r="C117" s="6" t="s">
        <v>353</v>
      </c>
      <c r="D117" s="5" t="s">
        <v>52</v>
      </c>
      <c r="E117" s="6" t="s">
        <v>354</v>
      </c>
      <c r="F117" s="6" t="s">
        <v>355</v>
      </c>
      <c r="G117" s="11" t="s">
        <v>356</v>
      </c>
      <c r="H117" s="6" t="s">
        <v>255</v>
      </c>
      <c r="I117" s="6" t="s">
        <v>255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5.5" x14ac:dyDescent="0.35">
      <c r="A118" s="9">
        <v>117</v>
      </c>
      <c r="B118" s="3" t="s">
        <v>357</v>
      </c>
      <c r="C118" s="6" t="s">
        <v>358</v>
      </c>
      <c r="D118" s="5" t="s">
        <v>17</v>
      </c>
      <c r="E118" s="4" t="s">
        <v>359</v>
      </c>
      <c r="F118" s="6" t="s">
        <v>360</v>
      </c>
      <c r="G118" s="7" t="s">
        <v>253</v>
      </c>
      <c r="H118" s="7" t="s">
        <v>44</v>
      </c>
      <c r="I118" s="7" t="s">
        <v>45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5.5" x14ac:dyDescent="0.35">
      <c r="A119" s="9">
        <v>118</v>
      </c>
      <c r="B119" s="3" t="s">
        <v>361</v>
      </c>
      <c r="C119" s="4" t="s">
        <v>362</v>
      </c>
      <c r="D119" s="5" t="s">
        <v>40</v>
      </c>
      <c r="E119" s="4" t="s">
        <v>359</v>
      </c>
      <c r="F119" s="6" t="s">
        <v>360</v>
      </c>
      <c r="G119" s="7" t="s">
        <v>253</v>
      </c>
      <c r="H119" s="7" t="s">
        <v>44</v>
      </c>
      <c r="I119" s="7" t="s">
        <v>45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5.5" x14ac:dyDescent="0.35">
      <c r="A120" s="9">
        <v>119</v>
      </c>
      <c r="B120" s="14" t="s">
        <v>363</v>
      </c>
      <c r="C120" s="4" t="s">
        <v>364</v>
      </c>
      <c r="D120" s="5" t="s">
        <v>20</v>
      </c>
      <c r="E120" s="4" t="s">
        <v>359</v>
      </c>
      <c r="F120" s="6" t="s">
        <v>360</v>
      </c>
      <c r="G120" s="7" t="s">
        <v>253</v>
      </c>
      <c r="H120" s="7" t="s">
        <v>44</v>
      </c>
      <c r="I120" s="7" t="s">
        <v>45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5.5" x14ac:dyDescent="0.35">
      <c r="A121" s="9">
        <v>120</v>
      </c>
      <c r="B121" s="14" t="s">
        <v>365</v>
      </c>
      <c r="C121" s="6" t="s">
        <v>366</v>
      </c>
      <c r="D121" s="5" t="s">
        <v>23</v>
      </c>
      <c r="E121" s="4" t="s">
        <v>359</v>
      </c>
      <c r="F121" s="6" t="s">
        <v>360</v>
      </c>
      <c r="G121" s="7" t="s">
        <v>253</v>
      </c>
      <c r="H121" s="7" t="s">
        <v>44</v>
      </c>
      <c r="I121" s="7" t="s">
        <v>45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5.5" x14ac:dyDescent="0.35">
      <c r="A122" s="9">
        <v>121</v>
      </c>
      <c r="B122" s="14" t="s">
        <v>367</v>
      </c>
      <c r="C122" s="6" t="s">
        <v>368</v>
      </c>
      <c r="D122" s="5" t="s">
        <v>23</v>
      </c>
      <c r="E122" s="4" t="s">
        <v>359</v>
      </c>
      <c r="F122" s="6" t="s">
        <v>360</v>
      </c>
      <c r="G122" s="7" t="s">
        <v>253</v>
      </c>
      <c r="H122" s="7" t="s">
        <v>44</v>
      </c>
      <c r="I122" s="7" t="s">
        <v>45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31" x14ac:dyDescent="0.35">
      <c r="A123" s="9">
        <v>122</v>
      </c>
      <c r="B123" s="14" t="s">
        <v>369</v>
      </c>
      <c r="C123" s="4" t="s">
        <v>370</v>
      </c>
      <c r="D123" s="5" t="s">
        <v>76</v>
      </c>
      <c r="E123" s="6" t="s">
        <v>354</v>
      </c>
      <c r="F123" s="6" t="s">
        <v>355</v>
      </c>
      <c r="G123" s="11" t="s">
        <v>356</v>
      </c>
      <c r="H123" s="6" t="s">
        <v>255</v>
      </c>
      <c r="I123" s="6" t="s">
        <v>255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5.5" x14ac:dyDescent="0.35">
      <c r="A124" s="9">
        <v>123</v>
      </c>
      <c r="B124" s="26" t="s">
        <v>371</v>
      </c>
      <c r="C124" s="4" t="s">
        <v>372</v>
      </c>
      <c r="D124" s="5">
        <v>11</v>
      </c>
      <c r="E124" s="6" t="s">
        <v>301</v>
      </c>
      <c r="F124" s="6" t="s">
        <v>307</v>
      </c>
      <c r="G124" s="7" t="s">
        <v>308</v>
      </c>
      <c r="H124" s="7" t="s">
        <v>255</v>
      </c>
      <c r="I124" s="7" t="s">
        <v>255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5.5" x14ac:dyDescent="0.35">
      <c r="A125" s="9">
        <v>124</v>
      </c>
      <c r="B125" s="14" t="s">
        <v>373</v>
      </c>
      <c r="C125" s="4" t="s">
        <v>374</v>
      </c>
      <c r="D125" s="5" t="s">
        <v>23</v>
      </c>
      <c r="E125" s="6" t="s">
        <v>301</v>
      </c>
      <c r="F125" s="6" t="s">
        <v>307</v>
      </c>
      <c r="G125" s="7" t="s">
        <v>308</v>
      </c>
      <c r="H125" s="7" t="s">
        <v>255</v>
      </c>
      <c r="I125" s="7" t="s">
        <v>255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5.5" x14ac:dyDescent="0.35">
      <c r="A126" s="9">
        <v>125</v>
      </c>
      <c r="B126" s="10" t="s">
        <v>375</v>
      </c>
      <c r="C126" s="6" t="s">
        <v>376</v>
      </c>
      <c r="D126" s="5" t="s">
        <v>20</v>
      </c>
      <c r="E126" s="4" t="s">
        <v>359</v>
      </c>
      <c r="F126" s="6" t="s">
        <v>360</v>
      </c>
      <c r="G126" s="7" t="s">
        <v>253</v>
      </c>
      <c r="H126" s="7" t="s">
        <v>44</v>
      </c>
      <c r="I126" s="7" t="s">
        <v>45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5.5" x14ac:dyDescent="0.35">
      <c r="A127" s="9">
        <v>126</v>
      </c>
      <c r="B127" s="14" t="s">
        <v>377</v>
      </c>
      <c r="C127" s="6" t="s">
        <v>378</v>
      </c>
      <c r="D127" s="5" t="s">
        <v>76</v>
      </c>
      <c r="E127" s="6" t="s">
        <v>151</v>
      </c>
      <c r="F127" s="6" t="s">
        <v>152</v>
      </c>
      <c r="G127" s="7" t="s">
        <v>153</v>
      </c>
      <c r="H127" s="7" t="s">
        <v>154</v>
      </c>
      <c r="I127" s="7" t="s">
        <v>155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31" x14ac:dyDescent="0.35">
      <c r="A128" s="9">
        <v>127</v>
      </c>
      <c r="B128" s="3" t="s">
        <v>379</v>
      </c>
      <c r="C128" s="4" t="s">
        <v>380</v>
      </c>
      <c r="D128" s="5" t="s">
        <v>23</v>
      </c>
      <c r="E128" s="6" t="s">
        <v>381</v>
      </c>
      <c r="F128" s="6" t="s">
        <v>355</v>
      </c>
      <c r="G128" s="11" t="s">
        <v>356</v>
      </c>
      <c r="H128" s="6" t="s">
        <v>255</v>
      </c>
      <c r="I128" s="6" t="s">
        <v>255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5.5" x14ac:dyDescent="0.35">
      <c r="A129" s="9">
        <v>128</v>
      </c>
      <c r="B129" s="3" t="s">
        <v>382</v>
      </c>
      <c r="C129" s="4" t="s">
        <v>383</v>
      </c>
      <c r="D129" s="5" t="s">
        <v>40</v>
      </c>
      <c r="E129" s="6" t="s">
        <v>301</v>
      </c>
      <c r="F129" s="6" t="s">
        <v>302</v>
      </c>
      <c r="G129" s="7" t="s">
        <v>254</v>
      </c>
      <c r="H129" s="7" t="s">
        <v>255</v>
      </c>
      <c r="I129" s="7" t="s">
        <v>255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5.5" x14ac:dyDescent="0.35">
      <c r="A130" s="9">
        <v>129</v>
      </c>
      <c r="B130" s="3" t="s">
        <v>384</v>
      </c>
      <c r="C130" s="4" t="s">
        <v>385</v>
      </c>
      <c r="D130" s="5" t="s">
        <v>224</v>
      </c>
      <c r="E130" s="4" t="s">
        <v>179</v>
      </c>
      <c r="F130" s="6" t="s">
        <v>180</v>
      </c>
      <c r="G130" s="7" t="s">
        <v>181</v>
      </c>
      <c r="H130" s="7" t="s">
        <v>34</v>
      </c>
      <c r="I130" s="7" t="s">
        <v>34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31" x14ac:dyDescent="0.35">
      <c r="A131" s="9">
        <v>130</v>
      </c>
      <c r="B131" s="3" t="s">
        <v>386</v>
      </c>
      <c r="C131" s="4" t="s">
        <v>387</v>
      </c>
      <c r="D131" s="5" t="s">
        <v>17</v>
      </c>
      <c r="E131" s="6" t="s">
        <v>354</v>
      </c>
      <c r="F131" s="6" t="s">
        <v>355</v>
      </c>
      <c r="G131" s="11" t="s">
        <v>356</v>
      </c>
      <c r="H131" s="6" t="s">
        <v>255</v>
      </c>
      <c r="I131" s="6" t="s">
        <v>255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31" x14ac:dyDescent="0.35">
      <c r="A132" s="9">
        <v>131</v>
      </c>
      <c r="B132" s="27" t="s">
        <v>388</v>
      </c>
      <c r="C132" s="6" t="s">
        <v>389</v>
      </c>
      <c r="D132" s="5" t="s">
        <v>194</v>
      </c>
      <c r="E132" s="6" t="s">
        <v>354</v>
      </c>
      <c r="F132" s="6" t="s">
        <v>355</v>
      </c>
      <c r="G132" s="11" t="s">
        <v>356</v>
      </c>
      <c r="H132" s="6" t="s">
        <v>255</v>
      </c>
      <c r="I132" s="6" t="s">
        <v>255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5.5" x14ac:dyDescent="0.35">
      <c r="A133" s="9">
        <v>132</v>
      </c>
      <c r="B133" s="14" t="s">
        <v>390</v>
      </c>
      <c r="C133" s="6" t="s">
        <v>391</v>
      </c>
      <c r="D133" s="5" t="s">
        <v>20</v>
      </c>
      <c r="E133" s="6" t="s">
        <v>151</v>
      </c>
      <c r="F133" s="6" t="s">
        <v>152</v>
      </c>
      <c r="G133" s="7" t="s">
        <v>153</v>
      </c>
      <c r="H133" s="7" t="s">
        <v>154</v>
      </c>
      <c r="I133" s="7" t="s">
        <v>155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31" x14ac:dyDescent="0.35">
      <c r="A134" s="9">
        <v>133</v>
      </c>
      <c r="B134" s="14" t="s">
        <v>392</v>
      </c>
      <c r="C134" s="4" t="s">
        <v>393</v>
      </c>
      <c r="D134" s="5" t="s">
        <v>20</v>
      </c>
      <c r="E134" s="6" t="s">
        <v>30</v>
      </c>
      <c r="F134" s="6" t="s">
        <v>31</v>
      </c>
      <c r="G134" s="11" t="s">
        <v>32</v>
      </c>
      <c r="H134" s="12" t="s">
        <v>33</v>
      </c>
      <c r="I134" s="7" t="s">
        <v>34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31" x14ac:dyDescent="0.35">
      <c r="A135" s="9">
        <v>134</v>
      </c>
      <c r="B135" s="17" t="s">
        <v>394</v>
      </c>
      <c r="C135" s="4" t="s">
        <v>395</v>
      </c>
      <c r="D135" s="5" t="s">
        <v>23</v>
      </c>
      <c r="E135" s="6" t="s">
        <v>354</v>
      </c>
      <c r="F135" s="6" t="s">
        <v>355</v>
      </c>
      <c r="G135" s="11" t="s">
        <v>356</v>
      </c>
      <c r="H135" s="6" t="s">
        <v>255</v>
      </c>
      <c r="I135" s="6" t="s">
        <v>255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5.5" x14ac:dyDescent="0.35">
      <c r="A136" s="9">
        <v>135</v>
      </c>
      <c r="B136" s="3" t="s">
        <v>396</v>
      </c>
      <c r="C136" s="4" t="s">
        <v>397</v>
      </c>
      <c r="D136" s="5" t="s">
        <v>29</v>
      </c>
      <c r="E136" s="6" t="s">
        <v>301</v>
      </c>
      <c r="F136" s="6" t="s">
        <v>307</v>
      </c>
      <c r="G136" s="7" t="s">
        <v>308</v>
      </c>
      <c r="H136" s="7" t="s">
        <v>255</v>
      </c>
      <c r="I136" s="7" t="s">
        <v>255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5.5" x14ac:dyDescent="0.35">
      <c r="A137" s="9">
        <v>136</v>
      </c>
      <c r="B137" s="3" t="s">
        <v>398</v>
      </c>
      <c r="C137" s="4" t="s">
        <v>399</v>
      </c>
      <c r="D137" s="5" t="s">
        <v>224</v>
      </c>
      <c r="E137" s="6" t="s">
        <v>301</v>
      </c>
      <c r="F137" s="6" t="s">
        <v>307</v>
      </c>
      <c r="G137" s="7" t="s">
        <v>308</v>
      </c>
      <c r="H137" s="7" t="s">
        <v>255</v>
      </c>
      <c r="I137" s="7" t="s">
        <v>255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5.5" x14ac:dyDescent="0.35">
      <c r="A138" s="9">
        <v>137</v>
      </c>
      <c r="B138" s="3" t="s">
        <v>400</v>
      </c>
      <c r="C138" s="4" t="s">
        <v>401</v>
      </c>
      <c r="D138" s="5" t="s">
        <v>224</v>
      </c>
      <c r="E138" s="6" t="s">
        <v>301</v>
      </c>
      <c r="F138" s="6" t="s">
        <v>307</v>
      </c>
      <c r="G138" s="7" t="s">
        <v>308</v>
      </c>
      <c r="H138" s="7" t="s">
        <v>255</v>
      </c>
      <c r="I138" s="7" t="s">
        <v>255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31" x14ac:dyDescent="0.35">
      <c r="A139" s="9">
        <v>138</v>
      </c>
      <c r="B139" s="14" t="s">
        <v>402</v>
      </c>
      <c r="C139" s="4" t="s">
        <v>403</v>
      </c>
      <c r="D139" s="5" t="s">
        <v>224</v>
      </c>
      <c r="E139" s="6" t="s">
        <v>354</v>
      </c>
      <c r="F139" s="6" t="s">
        <v>355</v>
      </c>
      <c r="G139" s="11" t="s">
        <v>356</v>
      </c>
      <c r="H139" s="6" t="s">
        <v>255</v>
      </c>
      <c r="I139" s="6" t="s">
        <v>255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46.5" x14ac:dyDescent="0.35">
      <c r="A140" s="9">
        <v>139</v>
      </c>
      <c r="B140" s="14" t="s">
        <v>404</v>
      </c>
      <c r="C140" s="4" t="s">
        <v>405</v>
      </c>
      <c r="D140" s="5" t="s">
        <v>20</v>
      </c>
      <c r="E140" s="6" t="s">
        <v>406</v>
      </c>
      <c r="F140" s="4" t="s">
        <v>407</v>
      </c>
      <c r="G140" s="7" t="s">
        <v>408</v>
      </c>
      <c r="H140" s="7" t="s">
        <v>33</v>
      </c>
      <c r="I140" s="7" t="s">
        <v>34</v>
      </c>
      <c r="J140" s="11" t="s">
        <v>43</v>
      </c>
      <c r="K140" s="7" t="s">
        <v>44</v>
      </c>
      <c r="L140" s="7" t="s">
        <v>45</v>
      </c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46.5" x14ac:dyDescent="0.35">
      <c r="A141" s="9">
        <v>140</v>
      </c>
      <c r="B141" s="3" t="s">
        <v>409</v>
      </c>
      <c r="C141" s="4" t="s">
        <v>410</v>
      </c>
      <c r="D141" s="5" t="s">
        <v>194</v>
      </c>
      <c r="E141" s="6" t="s">
        <v>41</v>
      </c>
      <c r="F141" s="6" t="s">
        <v>42</v>
      </c>
      <c r="G141" s="11" t="s">
        <v>43</v>
      </c>
      <c r="H141" s="7" t="s">
        <v>44</v>
      </c>
      <c r="I141" s="7" t="s">
        <v>45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46.5" x14ac:dyDescent="0.35">
      <c r="A142" s="9">
        <v>141</v>
      </c>
      <c r="B142" s="14" t="s">
        <v>411</v>
      </c>
      <c r="C142" s="4" t="s">
        <v>412</v>
      </c>
      <c r="D142" s="5" t="s">
        <v>23</v>
      </c>
      <c r="E142" s="6" t="s">
        <v>406</v>
      </c>
      <c r="F142" s="4" t="s">
        <v>407</v>
      </c>
      <c r="G142" s="7" t="s">
        <v>408</v>
      </c>
      <c r="H142" s="7" t="s">
        <v>33</v>
      </c>
      <c r="I142" s="7" t="s">
        <v>34</v>
      </c>
      <c r="J142" s="11" t="s">
        <v>43</v>
      </c>
      <c r="K142" s="7" t="s">
        <v>44</v>
      </c>
      <c r="L142" s="7" t="s">
        <v>45</v>
      </c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46.5" x14ac:dyDescent="0.35">
      <c r="A143" s="9">
        <v>142</v>
      </c>
      <c r="B143" s="3" t="s">
        <v>413</v>
      </c>
      <c r="C143" s="4" t="s">
        <v>414</v>
      </c>
      <c r="D143" s="5">
        <v>14</v>
      </c>
      <c r="E143" s="6" t="s">
        <v>41</v>
      </c>
      <c r="F143" s="6" t="s">
        <v>42</v>
      </c>
      <c r="G143" s="11" t="s">
        <v>43</v>
      </c>
      <c r="H143" s="7" t="s">
        <v>44</v>
      </c>
      <c r="I143" s="7" t="s">
        <v>45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46.5" x14ac:dyDescent="0.35">
      <c r="A144" s="9">
        <v>143</v>
      </c>
      <c r="B144" s="3" t="s">
        <v>415</v>
      </c>
      <c r="C144" s="4" t="s">
        <v>416</v>
      </c>
      <c r="D144" s="5" t="s">
        <v>20</v>
      </c>
      <c r="E144" s="6" t="s">
        <v>41</v>
      </c>
      <c r="F144" s="6" t="s">
        <v>42</v>
      </c>
      <c r="G144" s="11" t="s">
        <v>43</v>
      </c>
      <c r="H144" s="7" t="s">
        <v>44</v>
      </c>
      <c r="I144" s="7" t="s">
        <v>45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15.5" x14ac:dyDescent="0.35">
      <c r="A145" s="9">
        <v>144</v>
      </c>
      <c r="B145" s="14" t="s">
        <v>417</v>
      </c>
      <c r="C145" s="4" t="s">
        <v>418</v>
      </c>
      <c r="D145" s="5" t="s">
        <v>23</v>
      </c>
      <c r="E145" s="6" t="s">
        <v>30</v>
      </c>
      <c r="F145" s="6" t="s">
        <v>31</v>
      </c>
      <c r="G145" s="7" t="s">
        <v>408</v>
      </c>
      <c r="H145" s="12" t="s">
        <v>33</v>
      </c>
      <c r="I145" s="7" t="s">
        <v>34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46.5" x14ac:dyDescent="0.35">
      <c r="A146" s="9">
        <v>145</v>
      </c>
      <c r="B146" s="14" t="s">
        <v>419</v>
      </c>
      <c r="C146" s="4" t="s">
        <v>420</v>
      </c>
      <c r="D146" s="5">
        <v>16</v>
      </c>
      <c r="E146" s="6" t="s">
        <v>421</v>
      </c>
      <c r="F146" s="4" t="s">
        <v>407</v>
      </c>
      <c r="G146" s="7" t="s">
        <v>408</v>
      </c>
      <c r="H146" s="7" t="s">
        <v>33</v>
      </c>
      <c r="I146" s="7" t="s">
        <v>34</v>
      </c>
      <c r="J146" s="11" t="s">
        <v>43</v>
      </c>
      <c r="K146" s="7" t="s">
        <v>44</v>
      </c>
      <c r="L146" s="7" t="s">
        <v>45</v>
      </c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5.5" x14ac:dyDescent="0.35">
      <c r="A147" s="9">
        <v>146</v>
      </c>
      <c r="B147" s="3" t="s">
        <v>422</v>
      </c>
      <c r="C147" s="4" t="s">
        <v>423</v>
      </c>
      <c r="D147" s="5">
        <v>15</v>
      </c>
      <c r="E147" s="6" t="s">
        <v>30</v>
      </c>
      <c r="F147" s="6" t="s">
        <v>31</v>
      </c>
      <c r="G147" s="7" t="s">
        <v>408</v>
      </c>
      <c r="H147" s="12" t="s">
        <v>33</v>
      </c>
      <c r="I147" s="7" t="s">
        <v>34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5.5" x14ac:dyDescent="0.35">
      <c r="A148" s="9">
        <v>147</v>
      </c>
      <c r="B148" s="14" t="s">
        <v>424</v>
      </c>
      <c r="C148" s="4" t="s">
        <v>425</v>
      </c>
      <c r="D148" s="5" t="s">
        <v>23</v>
      </c>
      <c r="E148" s="6" t="s">
        <v>30</v>
      </c>
      <c r="F148" s="6" t="s">
        <v>31</v>
      </c>
      <c r="G148" s="7" t="s">
        <v>408</v>
      </c>
      <c r="H148" s="12" t="s">
        <v>33</v>
      </c>
      <c r="I148" s="7" t="s">
        <v>34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5.5" x14ac:dyDescent="0.35">
      <c r="A149" s="9">
        <v>148</v>
      </c>
      <c r="B149" s="14" t="s">
        <v>426</v>
      </c>
      <c r="C149" s="4" t="s">
        <v>427</v>
      </c>
      <c r="D149" s="5" t="s">
        <v>52</v>
      </c>
      <c r="E149" s="6" t="s">
        <v>30</v>
      </c>
      <c r="F149" s="6" t="s">
        <v>31</v>
      </c>
      <c r="G149" s="7" t="s">
        <v>408</v>
      </c>
      <c r="H149" s="12" t="s">
        <v>33</v>
      </c>
      <c r="I149" s="7" t="s">
        <v>34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5.5" x14ac:dyDescent="0.35">
      <c r="A150" s="9">
        <v>149</v>
      </c>
      <c r="B150" s="14" t="s">
        <v>428</v>
      </c>
      <c r="C150" s="4" t="s">
        <v>429</v>
      </c>
      <c r="D150" s="5" t="s">
        <v>76</v>
      </c>
      <c r="E150" s="6" t="s">
        <v>30</v>
      </c>
      <c r="F150" s="6" t="s">
        <v>31</v>
      </c>
      <c r="G150" s="7" t="s">
        <v>408</v>
      </c>
      <c r="H150" s="12" t="s">
        <v>33</v>
      </c>
      <c r="I150" s="7" t="s">
        <v>34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5.5" x14ac:dyDescent="0.35">
      <c r="A151" s="9">
        <v>150</v>
      </c>
      <c r="B151" s="14" t="s">
        <v>430</v>
      </c>
      <c r="C151" s="4" t="s">
        <v>431</v>
      </c>
      <c r="D151" s="5" t="s">
        <v>23</v>
      </c>
      <c r="E151" s="6" t="s">
        <v>30</v>
      </c>
      <c r="F151" s="6" t="s">
        <v>31</v>
      </c>
      <c r="G151" s="7" t="s">
        <v>408</v>
      </c>
      <c r="H151" s="12" t="s">
        <v>33</v>
      </c>
      <c r="I151" s="7" t="s">
        <v>34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5.5" x14ac:dyDescent="0.35">
      <c r="A152" s="9">
        <v>151</v>
      </c>
      <c r="B152" s="10" t="s">
        <v>432</v>
      </c>
      <c r="C152" s="4" t="s">
        <v>433</v>
      </c>
      <c r="D152" s="5" t="s">
        <v>194</v>
      </c>
      <c r="E152" s="6" t="s">
        <v>30</v>
      </c>
      <c r="F152" s="6" t="s">
        <v>31</v>
      </c>
      <c r="G152" s="7" t="s">
        <v>408</v>
      </c>
      <c r="H152" s="12" t="s">
        <v>33</v>
      </c>
      <c r="I152" s="7" t="s">
        <v>34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46.5" x14ac:dyDescent="0.35">
      <c r="A153" s="9">
        <v>152</v>
      </c>
      <c r="B153" s="14" t="s">
        <v>434</v>
      </c>
      <c r="C153" s="4" t="s">
        <v>435</v>
      </c>
      <c r="D153" s="5" t="s">
        <v>17</v>
      </c>
      <c r="E153" s="6" t="s">
        <v>406</v>
      </c>
      <c r="F153" s="4" t="s">
        <v>407</v>
      </c>
      <c r="G153" s="7" t="s">
        <v>408</v>
      </c>
      <c r="H153" s="7" t="s">
        <v>33</v>
      </c>
      <c r="I153" s="7" t="s">
        <v>34</v>
      </c>
      <c r="J153" s="11" t="s">
        <v>43</v>
      </c>
      <c r="K153" s="7" t="s">
        <v>44</v>
      </c>
      <c r="L153" s="7" t="s">
        <v>45</v>
      </c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46.5" x14ac:dyDescent="0.35">
      <c r="A154" s="9">
        <v>153</v>
      </c>
      <c r="B154" s="14" t="s">
        <v>436</v>
      </c>
      <c r="C154" s="4" t="s">
        <v>437</v>
      </c>
      <c r="D154" s="5">
        <v>10</v>
      </c>
      <c r="E154" s="6" t="s">
        <v>406</v>
      </c>
      <c r="F154" s="4" t="s">
        <v>407</v>
      </c>
      <c r="G154" s="7" t="s">
        <v>408</v>
      </c>
      <c r="H154" s="7" t="s">
        <v>33</v>
      </c>
      <c r="I154" s="7" t="s">
        <v>34</v>
      </c>
      <c r="J154" s="11" t="s">
        <v>43</v>
      </c>
      <c r="K154" s="7" t="s">
        <v>44</v>
      </c>
      <c r="L154" s="7" t="s">
        <v>45</v>
      </c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46.5" x14ac:dyDescent="0.35">
      <c r="A155" s="9">
        <v>154</v>
      </c>
      <c r="B155" s="3" t="s">
        <v>438</v>
      </c>
      <c r="C155" s="4" t="s">
        <v>439</v>
      </c>
      <c r="D155" s="5" t="s">
        <v>29</v>
      </c>
      <c r="E155" s="6" t="s">
        <v>406</v>
      </c>
      <c r="F155" s="4" t="s">
        <v>407</v>
      </c>
      <c r="G155" s="7" t="s">
        <v>408</v>
      </c>
      <c r="H155" s="7" t="s">
        <v>33</v>
      </c>
      <c r="I155" s="7" t="s">
        <v>34</v>
      </c>
      <c r="J155" s="11" t="s">
        <v>43</v>
      </c>
      <c r="K155" s="7" t="s">
        <v>44</v>
      </c>
      <c r="L155" s="7" t="s">
        <v>45</v>
      </c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5.5" x14ac:dyDescent="0.35">
      <c r="A156" s="9">
        <v>155</v>
      </c>
      <c r="B156" s="24" t="s">
        <v>440</v>
      </c>
      <c r="C156" s="4" t="s">
        <v>441</v>
      </c>
      <c r="D156" s="15" t="s">
        <v>29</v>
      </c>
      <c r="E156" s="4" t="s">
        <v>30</v>
      </c>
      <c r="F156" s="6" t="s">
        <v>31</v>
      </c>
      <c r="G156" s="7" t="s">
        <v>408</v>
      </c>
      <c r="H156" s="12" t="s">
        <v>33</v>
      </c>
      <c r="I156" s="7" t="s">
        <v>34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5.5" x14ac:dyDescent="0.35">
      <c r="A157" s="9">
        <v>156</v>
      </c>
      <c r="B157" s="24" t="s">
        <v>442</v>
      </c>
      <c r="C157" s="4" t="s">
        <v>443</v>
      </c>
      <c r="D157" s="5" t="s">
        <v>29</v>
      </c>
      <c r="E157" s="6" t="s">
        <v>30</v>
      </c>
      <c r="F157" s="6" t="s">
        <v>31</v>
      </c>
      <c r="G157" s="7" t="s">
        <v>408</v>
      </c>
      <c r="H157" s="12" t="s">
        <v>33</v>
      </c>
      <c r="I157" s="7" t="s">
        <v>34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5.5" x14ac:dyDescent="0.35">
      <c r="A158" s="9">
        <v>157</v>
      </c>
      <c r="B158" s="3" t="s">
        <v>444</v>
      </c>
      <c r="C158" s="4" t="s">
        <v>445</v>
      </c>
      <c r="D158" s="5" t="s">
        <v>17</v>
      </c>
      <c r="E158" s="6" t="s">
        <v>243</v>
      </c>
      <c r="F158" s="6" t="s">
        <v>56</v>
      </c>
      <c r="G158" s="7" t="s">
        <v>57</v>
      </c>
      <c r="H158" s="13" t="s">
        <v>44</v>
      </c>
      <c r="I158" s="13" t="s">
        <v>45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46.5" x14ac:dyDescent="0.35">
      <c r="A159" s="9">
        <v>158</v>
      </c>
      <c r="B159" s="14" t="s">
        <v>446</v>
      </c>
      <c r="C159" s="4" t="s">
        <v>447</v>
      </c>
      <c r="D159" s="5" t="s">
        <v>23</v>
      </c>
      <c r="E159" s="6" t="s">
        <v>448</v>
      </c>
      <c r="F159" s="6" t="s">
        <v>42</v>
      </c>
      <c r="G159" s="11" t="s">
        <v>43</v>
      </c>
      <c r="H159" s="7" t="s">
        <v>44</v>
      </c>
      <c r="I159" s="7" t="s">
        <v>45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5.5" x14ac:dyDescent="0.35">
      <c r="A160" s="9">
        <v>159</v>
      </c>
      <c r="B160" s="14" t="s">
        <v>449</v>
      </c>
      <c r="C160" s="4" t="s">
        <v>450</v>
      </c>
      <c r="D160" s="5" t="s">
        <v>76</v>
      </c>
      <c r="E160" s="6" t="s">
        <v>30</v>
      </c>
      <c r="F160" s="6" t="s">
        <v>31</v>
      </c>
      <c r="G160" s="7" t="s">
        <v>408</v>
      </c>
      <c r="H160" s="12" t="s">
        <v>33</v>
      </c>
      <c r="I160" s="7" t="s">
        <v>34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5.5" x14ac:dyDescent="0.35">
      <c r="A161" s="9">
        <v>160</v>
      </c>
      <c r="B161" s="14" t="s">
        <v>451</v>
      </c>
      <c r="C161" s="4" t="s">
        <v>452</v>
      </c>
      <c r="D161" s="5" t="s">
        <v>23</v>
      </c>
      <c r="E161" s="6" t="s">
        <v>30</v>
      </c>
      <c r="F161" s="6" t="s">
        <v>31</v>
      </c>
      <c r="G161" s="7" t="s">
        <v>408</v>
      </c>
      <c r="H161" s="12" t="s">
        <v>33</v>
      </c>
      <c r="I161" s="7" t="s">
        <v>34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5.5" x14ac:dyDescent="0.35">
      <c r="A162" s="9">
        <v>161</v>
      </c>
      <c r="B162" s="14" t="s">
        <v>453</v>
      </c>
      <c r="C162" s="4" t="s">
        <v>454</v>
      </c>
      <c r="D162" s="5" t="s">
        <v>20</v>
      </c>
      <c r="E162" s="6" t="s">
        <v>30</v>
      </c>
      <c r="F162" s="6" t="s">
        <v>31</v>
      </c>
      <c r="G162" s="7" t="s">
        <v>408</v>
      </c>
      <c r="H162" s="12" t="s">
        <v>33</v>
      </c>
      <c r="I162" s="7" t="s">
        <v>34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46.5" x14ac:dyDescent="0.35">
      <c r="A163" s="9">
        <v>162</v>
      </c>
      <c r="B163" s="14" t="s">
        <v>455</v>
      </c>
      <c r="C163" s="4" t="s">
        <v>456</v>
      </c>
      <c r="D163" s="5" t="s">
        <v>40</v>
      </c>
      <c r="E163" s="6" t="s">
        <v>406</v>
      </c>
      <c r="F163" s="4" t="s">
        <v>407</v>
      </c>
      <c r="G163" s="7" t="s">
        <v>408</v>
      </c>
      <c r="H163" s="7" t="s">
        <v>33</v>
      </c>
      <c r="I163" s="7" t="s">
        <v>34</v>
      </c>
      <c r="J163" s="11" t="s">
        <v>43</v>
      </c>
      <c r="K163" s="7" t="s">
        <v>44</v>
      </c>
      <c r="L163" s="7" t="s">
        <v>45</v>
      </c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5.5" x14ac:dyDescent="0.35">
      <c r="A164" s="9">
        <v>163</v>
      </c>
      <c r="B164" s="14" t="s">
        <v>457</v>
      </c>
      <c r="C164" s="4" t="s">
        <v>458</v>
      </c>
      <c r="D164" s="5" t="s">
        <v>194</v>
      </c>
      <c r="E164" s="6" t="s">
        <v>30</v>
      </c>
      <c r="F164" s="6" t="s">
        <v>31</v>
      </c>
      <c r="G164" s="7" t="s">
        <v>408</v>
      </c>
      <c r="H164" s="12" t="s">
        <v>33</v>
      </c>
      <c r="I164" s="7" t="s">
        <v>34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5.5" x14ac:dyDescent="0.35">
      <c r="A165" s="9">
        <v>164</v>
      </c>
      <c r="B165" s="3" t="s">
        <v>459</v>
      </c>
      <c r="C165" s="4" t="s">
        <v>460</v>
      </c>
      <c r="D165" s="5" t="s">
        <v>23</v>
      </c>
      <c r="E165" s="6" t="s">
        <v>30</v>
      </c>
      <c r="F165" s="6" t="s">
        <v>31</v>
      </c>
      <c r="G165" s="7" t="s">
        <v>408</v>
      </c>
      <c r="H165" s="12" t="s">
        <v>33</v>
      </c>
      <c r="I165" s="7" t="s">
        <v>34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46.5" x14ac:dyDescent="0.35">
      <c r="A166" s="9">
        <v>165</v>
      </c>
      <c r="B166" s="14" t="s">
        <v>461</v>
      </c>
      <c r="C166" s="4" t="s">
        <v>462</v>
      </c>
      <c r="D166" s="5" t="s">
        <v>40</v>
      </c>
      <c r="E166" s="6" t="s">
        <v>41</v>
      </c>
      <c r="F166" s="6" t="s">
        <v>42</v>
      </c>
      <c r="G166" s="11" t="s">
        <v>43</v>
      </c>
      <c r="H166" s="7" t="s">
        <v>44</v>
      </c>
      <c r="I166" s="7" t="s">
        <v>45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46.5" x14ac:dyDescent="0.35">
      <c r="A167" s="9">
        <v>166</v>
      </c>
      <c r="B167" s="3" t="s">
        <v>463</v>
      </c>
      <c r="C167" s="4" t="s">
        <v>464</v>
      </c>
      <c r="D167" s="5" t="s">
        <v>29</v>
      </c>
      <c r="E167" s="6" t="s">
        <v>406</v>
      </c>
      <c r="F167" s="4" t="s">
        <v>407</v>
      </c>
      <c r="G167" s="7" t="s">
        <v>408</v>
      </c>
      <c r="H167" s="7" t="s">
        <v>33</v>
      </c>
      <c r="I167" s="7" t="s">
        <v>34</v>
      </c>
      <c r="J167" s="11" t="s">
        <v>43</v>
      </c>
      <c r="K167" s="7" t="s">
        <v>44</v>
      </c>
      <c r="L167" s="7" t="s">
        <v>45</v>
      </c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5.5" x14ac:dyDescent="0.35">
      <c r="A168" s="9">
        <v>167</v>
      </c>
      <c r="B168" s="10" t="s">
        <v>465</v>
      </c>
      <c r="C168" s="4" t="s">
        <v>466</v>
      </c>
      <c r="D168" s="5" t="s">
        <v>29</v>
      </c>
      <c r="E168" s="6" t="s">
        <v>30</v>
      </c>
      <c r="F168" s="6" t="s">
        <v>31</v>
      </c>
      <c r="G168" s="7" t="s">
        <v>408</v>
      </c>
      <c r="H168" s="12" t="s">
        <v>33</v>
      </c>
      <c r="I168" s="7" t="s">
        <v>34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46.5" x14ac:dyDescent="0.35">
      <c r="A169" s="9">
        <v>168</v>
      </c>
      <c r="B169" s="24" t="s">
        <v>467</v>
      </c>
      <c r="C169" s="4" t="s">
        <v>468</v>
      </c>
      <c r="D169" s="5" t="s">
        <v>270</v>
      </c>
      <c r="E169" s="6" t="s">
        <v>41</v>
      </c>
      <c r="F169" s="6" t="s">
        <v>42</v>
      </c>
      <c r="G169" s="11" t="s">
        <v>43</v>
      </c>
      <c r="H169" s="7" t="s">
        <v>44</v>
      </c>
      <c r="I169" s="7" t="s">
        <v>45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5.5" x14ac:dyDescent="0.35">
      <c r="A170" s="9">
        <v>169</v>
      </c>
      <c r="B170" s="10" t="s">
        <v>469</v>
      </c>
      <c r="C170" s="4" t="s">
        <v>470</v>
      </c>
      <c r="D170" s="5" t="s">
        <v>29</v>
      </c>
      <c r="E170" s="6" t="s">
        <v>30</v>
      </c>
      <c r="F170" s="6" t="s">
        <v>31</v>
      </c>
      <c r="G170" s="7" t="s">
        <v>408</v>
      </c>
      <c r="H170" s="12" t="s">
        <v>33</v>
      </c>
      <c r="I170" s="7" t="s">
        <v>34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5.5" x14ac:dyDescent="0.35">
      <c r="A171" s="9">
        <v>170</v>
      </c>
      <c r="B171" s="10" t="s">
        <v>471</v>
      </c>
      <c r="C171" s="4" t="s">
        <v>472</v>
      </c>
      <c r="D171" s="5" t="s">
        <v>40</v>
      </c>
      <c r="E171" s="6" t="s">
        <v>30</v>
      </c>
      <c r="F171" s="6" t="s">
        <v>31</v>
      </c>
      <c r="G171" s="7" t="s">
        <v>408</v>
      </c>
      <c r="H171" s="12" t="s">
        <v>33</v>
      </c>
      <c r="I171" s="7" t="s">
        <v>34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5.5" x14ac:dyDescent="0.35">
      <c r="A172" s="9">
        <v>171</v>
      </c>
      <c r="B172" s="3" t="s">
        <v>473</v>
      </c>
      <c r="C172" s="4" t="s">
        <v>474</v>
      </c>
      <c r="D172" s="5" t="s">
        <v>270</v>
      </c>
      <c r="E172" s="6" t="s">
        <v>475</v>
      </c>
      <c r="F172" s="6" t="s">
        <v>31</v>
      </c>
      <c r="G172" s="7" t="s">
        <v>408</v>
      </c>
      <c r="H172" s="12" t="s">
        <v>33</v>
      </c>
      <c r="I172" s="7" t="s">
        <v>34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46.5" x14ac:dyDescent="0.35">
      <c r="A173" s="9">
        <v>172</v>
      </c>
      <c r="B173" s="3" t="s">
        <v>476</v>
      </c>
      <c r="C173" s="4" t="s">
        <v>477</v>
      </c>
      <c r="D173" s="5" t="s">
        <v>23</v>
      </c>
      <c r="E173" s="6" t="s">
        <v>406</v>
      </c>
      <c r="F173" s="4" t="s">
        <v>407</v>
      </c>
      <c r="G173" s="11" t="s">
        <v>32</v>
      </c>
      <c r="H173" s="12" t="s">
        <v>33</v>
      </c>
      <c r="I173" s="7" t="s">
        <v>34</v>
      </c>
      <c r="J173" s="11" t="s">
        <v>43</v>
      </c>
      <c r="K173" s="7" t="s">
        <v>44</v>
      </c>
      <c r="L173" s="7" t="s">
        <v>45</v>
      </c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46.5" x14ac:dyDescent="0.35">
      <c r="A174" s="9">
        <v>173</v>
      </c>
      <c r="B174" s="14" t="s">
        <v>478</v>
      </c>
      <c r="C174" s="4" t="s">
        <v>479</v>
      </c>
      <c r="D174" s="5" t="s">
        <v>23</v>
      </c>
      <c r="E174" s="6" t="s">
        <v>406</v>
      </c>
      <c r="F174" s="4" t="s">
        <v>407</v>
      </c>
      <c r="G174" s="11" t="s">
        <v>32</v>
      </c>
      <c r="H174" s="12" t="s">
        <v>33</v>
      </c>
      <c r="I174" s="7" t="s">
        <v>34</v>
      </c>
      <c r="J174" s="11" t="s">
        <v>43</v>
      </c>
      <c r="K174" s="7" t="s">
        <v>44</v>
      </c>
      <c r="L174" s="7" t="s">
        <v>45</v>
      </c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31" x14ac:dyDescent="0.35">
      <c r="A175" s="9">
        <v>174</v>
      </c>
      <c r="B175" s="3" t="s">
        <v>480</v>
      </c>
      <c r="C175" s="4" t="s">
        <v>481</v>
      </c>
      <c r="D175" s="5" t="s">
        <v>23</v>
      </c>
      <c r="E175" s="6" t="s">
        <v>30</v>
      </c>
      <c r="F175" s="6" t="s">
        <v>31</v>
      </c>
      <c r="G175" s="11" t="s">
        <v>32</v>
      </c>
      <c r="H175" s="12" t="s">
        <v>33</v>
      </c>
      <c r="I175" s="7" t="s">
        <v>34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46.5" x14ac:dyDescent="0.35">
      <c r="A176" s="9">
        <v>175</v>
      </c>
      <c r="B176" s="3" t="s">
        <v>482</v>
      </c>
      <c r="C176" s="4" t="s">
        <v>483</v>
      </c>
      <c r="D176" s="15">
        <v>12</v>
      </c>
      <c r="E176" s="4" t="s">
        <v>41</v>
      </c>
      <c r="F176" s="6" t="s">
        <v>42</v>
      </c>
      <c r="G176" s="11" t="s">
        <v>43</v>
      </c>
      <c r="H176" s="7" t="s">
        <v>44</v>
      </c>
      <c r="I176" s="7" t="s">
        <v>45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31" x14ac:dyDescent="0.35">
      <c r="A177" s="9">
        <v>176</v>
      </c>
      <c r="B177" s="10" t="s">
        <v>484</v>
      </c>
      <c r="C177" s="4" t="s">
        <v>485</v>
      </c>
      <c r="D177" s="5" t="s">
        <v>20</v>
      </c>
      <c r="E177" s="6" t="s">
        <v>30</v>
      </c>
      <c r="F177" s="6" t="s">
        <v>31</v>
      </c>
      <c r="G177" s="11" t="s">
        <v>32</v>
      </c>
      <c r="H177" s="12" t="s">
        <v>33</v>
      </c>
      <c r="I177" s="7" t="s">
        <v>34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31" x14ac:dyDescent="0.35">
      <c r="A178" s="9">
        <v>177</v>
      </c>
      <c r="B178" s="3" t="s">
        <v>486</v>
      </c>
      <c r="C178" s="4" t="s">
        <v>487</v>
      </c>
      <c r="D178" s="5" t="s">
        <v>23</v>
      </c>
      <c r="E178" s="6" t="s">
        <v>30</v>
      </c>
      <c r="F178" s="6" t="s">
        <v>31</v>
      </c>
      <c r="G178" s="11" t="s">
        <v>32</v>
      </c>
      <c r="H178" s="12" t="s">
        <v>33</v>
      </c>
      <c r="I178" s="7" t="s">
        <v>34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46.5" x14ac:dyDescent="0.35">
      <c r="A179" s="9">
        <v>178</v>
      </c>
      <c r="B179" s="3" t="s">
        <v>488</v>
      </c>
      <c r="C179" s="4" t="s">
        <v>489</v>
      </c>
      <c r="D179" s="5" t="s">
        <v>23</v>
      </c>
      <c r="E179" s="6" t="s">
        <v>490</v>
      </c>
      <c r="F179" s="4" t="s">
        <v>491</v>
      </c>
      <c r="G179" s="11" t="s">
        <v>492</v>
      </c>
      <c r="H179" s="6" t="s">
        <v>493</v>
      </c>
      <c r="I179" s="6" t="s">
        <v>494</v>
      </c>
      <c r="J179" s="11" t="s">
        <v>43</v>
      </c>
      <c r="K179" s="7" t="s">
        <v>44</v>
      </c>
      <c r="L179" s="7" t="s">
        <v>45</v>
      </c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31" x14ac:dyDescent="0.35">
      <c r="A180" s="9">
        <v>179</v>
      </c>
      <c r="B180" s="3" t="s">
        <v>495</v>
      </c>
      <c r="C180" s="4" t="s">
        <v>496</v>
      </c>
      <c r="D180" s="5" t="s">
        <v>23</v>
      </c>
      <c r="E180" s="6" t="s">
        <v>30</v>
      </c>
      <c r="F180" s="6" t="s">
        <v>31</v>
      </c>
      <c r="G180" s="11" t="s">
        <v>32</v>
      </c>
      <c r="H180" s="12" t="s">
        <v>33</v>
      </c>
      <c r="I180" s="7" t="s">
        <v>34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31" x14ac:dyDescent="0.35">
      <c r="A181" s="9">
        <v>180</v>
      </c>
      <c r="B181" s="10" t="s">
        <v>497</v>
      </c>
      <c r="C181" s="4" t="s">
        <v>498</v>
      </c>
      <c r="D181" s="5" t="s">
        <v>23</v>
      </c>
      <c r="E181" s="6" t="s">
        <v>30</v>
      </c>
      <c r="F181" s="6" t="s">
        <v>31</v>
      </c>
      <c r="G181" s="11" t="s">
        <v>32</v>
      </c>
      <c r="H181" s="12" t="s">
        <v>33</v>
      </c>
      <c r="I181" s="7" t="s">
        <v>34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31" x14ac:dyDescent="0.35">
      <c r="A182" s="9">
        <v>181</v>
      </c>
      <c r="B182" s="3" t="s">
        <v>499</v>
      </c>
      <c r="C182" s="4" t="s">
        <v>500</v>
      </c>
      <c r="D182" s="5" t="s">
        <v>40</v>
      </c>
      <c r="E182" s="6" t="s">
        <v>30</v>
      </c>
      <c r="F182" s="6" t="s">
        <v>31</v>
      </c>
      <c r="G182" s="11" t="s">
        <v>32</v>
      </c>
      <c r="H182" s="12" t="s">
        <v>33</v>
      </c>
      <c r="I182" s="7" t="s">
        <v>34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31" x14ac:dyDescent="0.35">
      <c r="A183" s="9">
        <v>182</v>
      </c>
      <c r="B183" s="3" t="s">
        <v>501</v>
      </c>
      <c r="C183" s="4" t="s">
        <v>502</v>
      </c>
      <c r="D183" s="5" t="s">
        <v>194</v>
      </c>
      <c r="E183" s="6" t="s">
        <v>30</v>
      </c>
      <c r="F183" s="6" t="s">
        <v>31</v>
      </c>
      <c r="G183" s="11" t="s">
        <v>32</v>
      </c>
      <c r="H183" s="12" t="s">
        <v>33</v>
      </c>
      <c r="I183" s="7" t="s">
        <v>34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46.5" x14ac:dyDescent="0.35">
      <c r="A184" s="9">
        <v>183</v>
      </c>
      <c r="B184" s="3" t="s">
        <v>503</v>
      </c>
      <c r="C184" s="4" t="s">
        <v>504</v>
      </c>
      <c r="D184" s="5">
        <v>11</v>
      </c>
      <c r="E184" s="6" t="s">
        <v>406</v>
      </c>
      <c r="F184" s="4" t="s">
        <v>407</v>
      </c>
      <c r="G184" s="11" t="s">
        <v>32</v>
      </c>
      <c r="H184" s="12" t="s">
        <v>33</v>
      </c>
      <c r="I184" s="7" t="s">
        <v>34</v>
      </c>
      <c r="J184" s="11" t="s">
        <v>43</v>
      </c>
      <c r="K184" s="7" t="s">
        <v>44</v>
      </c>
      <c r="L184" s="7" t="s">
        <v>45</v>
      </c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31" x14ac:dyDescent="0.35">
      <c r="A185" s="9">
        <v>184</v>
      </c>
      <c r="B185" s="3" t="s">
        <v>505</v>
      </c>
      <c r="C185" s="4" t="s">
        <v>506</v>
      </c>
      <c r="D185" s="5" t="s">
        <v>20</v>
      </c>
      <c r="E185" s="6" t="s">
        <v>30</v>
      </c>
      <c r="F185" s="6" t="s">
        <v>31</v>
      </c>
      <c r="G185" s="11" t="s">
        <v>32</v>
      </c>
      <c r="H185" s="12" t="s">
        <v>33</v>
      </c>
      <c r="I185" s="7" t="s">
        <v>34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31" x14ac:dyDescent="0.35">
      <c r="A186" s="9">
        <v>185</v>
      </c>
      <c r="B186" s="3" t="s">
        <v>507</v>
      </c>
      <c r="C186" s="4" t="s">
        <v>508</v>
      </c>
      <c r="D186" s="5" t="s">
        <v>23</v>
      </c>
      <c r="E186" s="6" t="s">
        <v>30</v>
      </c>
      <c r="F186" s="6" t="s">
        <v>31</v>
      </c>
      <c r="G186" s="11" t="s">
        <v>32</v>
      </c>
      <c r="H186" s="12" t="s">
        <v>33</v>
      </c>
      <c r="I186" s="7" t="s">
        <v>34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46.5" x14ac:dyDescent="0.35">
      <c r="A187" s="9">
        <v>186</v>
      </c>
      <c r="B187" s="3" t="s">
        <v>509</v>
      </c>
      <c r="C187" s="4" t="s">
        <v>510</v>
      </c>
      <c r="D187" s="5" t="s">
        <v>52</v>
      </c>
      <c r="E187" s="6" t="s">
        <v>41</v>
      </c>
      <c r="F187" s="6" t="s">
        <v>42</v>
      </c>
      <c r="G187" s="11" t="s">
        <v>43</v>
      </c>
      <c r="H187" s="7" t="s">
        <v>44</v>
      </c>
      <c r="I187" s="7" t="s">
        <v>45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46.5" x14ac:dyDescent="0.35">
      <c r="A188" s="9">
        <v>187</v>
      </c>
      <c r="B188" s="14" t="s">
        <v>511</v>
      </c>
      <c r="C188" s="6" t="s">
        <v>512</v>
      </c>
      <c r="D188" s="5">
        <v>10</v>
      </c>
      <c r="E188" s="6" t="s">
        <v>41</v>
      </c>
      <c r="F188" s="6" t="s">
        <v>42</v>
      </c>
      <c r="G188" s="11" t="s">
        <v>43</v>
      </c>
      <c r="H188" s="7" t="s">
        <v>44</v>
      </c>
      <c r="I188" s="7" t="s">
        <v>45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46.5" x14ac:dyDescent="0.35">
      <c r="A189" s="9">
        <v>188</v>
      </c>
      <c r="B189" s="3" t="s">
        <v>513</v>
      </c>
      <c r="C189" s="4" t="s">
        <v>514</v>
      </c>
      <c r="D189" s="5" t="s">
        <v>17</v>
      </c>
      <c r="E189" s="6" t="s">
        <v>406</v>
      </c>
      <c r="F189" s="4" t="s">
        <v>407</v>
      </c>
      <c r="G189" s="11" t="s">
        <v>32</v>
      </c>
      <c r="H189" s="12" t="s">
        <v>33</v>
      </c>
      <c r="I189" s="7" t="s">
        <v>34</v>
      </c>
      <c r="J189" s="11" t="s">
        <v>43</v>
      </c>
      <c r="K189" s="7" t="s">
        <v>44</v>
      </c>
      <c r="L189" s="7" t="s">
        <v>45</v>
      </c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46.5" x14ac:dyDescent="0.35">
      <c r="A190" s="9">
        <v>189</v>
      </c>
      <c r="B190" s="3" t="s">
        <v>515</v>
      </c>
      <c r="C190" s="4" t="s">
        <v>516</v>
      </c>
      <c r="D190" s="5" t="s">
        <v>194</v>
      </c>
      <c r="E190" s="6" t="s">
        <v>41</v>
      </c>
      <c r="F190" s="6" t="s">
        <v>42</v>
      </c>
      <c r="G190" s="11" t="s">
        <v>43</v>
      </c>
      <c r="H190" s="7" t="s">
        <v>44</v>
      </c>
      <c r="I190" s="7" t="s">
        <v>45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46.5" x14ac:dyDescent="0.35">
      <c r="A191" s="9">
        <v>190</v>
      </c>
      <c r="B191" s="14" t="s">
        <v>517</v>
      </c>
      <c r="C191" s="6" t="s">
        <v>518</v>
      </c>
      <c r="D191" s="5" t="s">
        <v>40</v>
      </c>
      <c r="E191" s="6" t="s">
        <v>41</v>
      </c>
      <c r="F191" s="6" t="s">
        <v>42</v>
      </c>
      <c r="G191" s="11" t="s">
        <v>43</v>
      </c>
      <c r="H191" s="7" t="s">
        <v>44</v>
      </c>
      <c r="I191" s="7" t="s">
        <v>45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46.5" x14ac:dyDescent="0.35">
      <c r="A192" s="9">
        <v>191</v>
      </c>
      <c r="B192" s="3" t="s">
        <v>519</v>
      </c>
      <c r="C192" s="4" t="s">
        <v>520</v>
      </c>
      <c r="D192" s="5" t="s">
        <v>20</v>
      </c>
      <c r="E192" s="6" t="s">
        <v>41</v>
      </c>
      <c r="F192" s="6" t="s">
        <v>42</v>
      </c>
      <c r="G192" s="11" t="s">
        <v>43</v>
      </c>
      <c r="H192" s="7" t="s">
        <v>44</v>
      </c>
      <c r="I192" s="7" t="s">
        <v>45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46.5" x14ac:dyDescent="0.35">
      <c r="A193" s="9">
        <v>192</v>
      </c>
      <c r="B193" s="10" t="s">
        <v>521</v>
      </c>
      <c r="C193" s="4" t="s">
        <v>522</v>
      </c>
      <c r="D193" s="5" t="s">
        <v>40</v>
      </c>
      <c r="E193" s="6" t="s">
        <v>41</v>
      </c>
      <c r="F193" s="6" t="s">
        <v>42</v>
      </c>
      <c r="G193" s="11" t="s">
        <v>43</v>
      </c>
      <c r="H193" s="7" t="s">
        <v>44</v>
      </c>
      <c r="I193" s="7" t="s">
        <v>45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46.5" x14ac:dyDescent="0.35">
      <c r="A194" s="9">
        <v>193</v>
      </c>
      <c r="B194" s="14" t="s">
        <v>523</v>
      </c>
      <c r="C194" s="4" t="s">
        <v>524</v>
      </c>
      <c r="D194" s="5" t="s">
        <v>40</v>
      </c>
      <c r="E194" s="6" t="s">
        <v>406</v>
      </c>
      <c r="F194" s="4" t="s">
        <v>407</v>
      </c>
      <c r="G194" s="11" t="s">
        <v>32</v>
      </c>
      <c r="H194" s="12" t="s">
        <v>33</v>
      </c>
      <c r="I194" s="7" t="s">
        <v>34</v>
      </c>
      <c r="J194" s="11" t="s">
        <v>43</v>
      </c>
      <c r="K194" s="7" t="s">
        <v>44</v>
      </c>
      <c r="L194" s="7" t="s">
        <v>45</v>
      </c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46.5" x14ac:dyDescent="0.35">
      <c r="A195" s="9">
        <v>194</v>
      </c>
      <c r="B195" s="3" t="s">
        <v>525</v>
      </c>
      <c r="C195" s="4" t="s">
        <v>526</v>
      </c>
      <c r="D195" s="5">
        <v>16</v>
      </c>
      <c r="E195" s="6" t="s">
        <v>41</v>
      </c>
      <c r="F195" s="6" t="s">
        <v>42</v>
      </c>
      <c r="G195" s="11" t="s">
        <v>43</v>
      </c>
      <c r="H195" s="7" t="s">
        <v>44</v>
      </c>
      <c r="I195" s="7" t="s">
        <v>45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46.5" x14ac:dyDescent="0.35">
      <c r="A196" s="9">
        <v>195</v>
      </c>
      <c r="B196" s="14" t="s">
        <v>527</v>
      </c>
      <c r="C196" s="4" t="s">
        <v>528</v>
      </c>
      <c r="D196" s="5" t="s">
        <v>29</v>
      </c>
      <c r="E196" s="6" t="s">
        <v>41</v>
      </c>
      <c r="F196" s="6" t="s">
        <v>42</v>
      </c>
      <c r="G196" s="11" t="s">
        <v>43</v>
      </c>
      <c r="H196" s="7" t="s">
        <v>44</v>
      </c>
      <c r="I196" s="7" t="s">
        <v>45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5.5" x14ac:dyDescent="0.35">
      <c r="A197" s="9">
        <v>196</v>
      </c>
      <c r="B197" s="27" t="s">
        <v>529</v>
      </c>
      <c r="C197" s="6" t="s">
        <v>530</v>
      </c>
      <c r="D197" s="5">
        <v>10</v>
      </c>
      <c r="E197" s="4" t="s">
        <v>359</v>
      </c>
      <c r="F197" s="6" t="s">
        <v>360</v>
      </c>
      <c r="G197" s="7" t="s">
        <v>253</v>
      </c>
      <c r="H197" s="7" t="s">
        <v>44</v>
      </c>
      <c r="I197" s="7" t="s">
        <v>45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5.5" x14ac:dyDescent="0.35">
      <c r="A198" s="9">
        <v>197</v>
      </c>
      <c r="B198" s="14" t="s">
        <v>531</v>
      </c>
      <c r="C198" s="4" t="s">
        <v>532</v>
      </c>
      <c r="D198" s="5" t="s">
        <v>37</v>
      </c>
      <c r="E198" s="4" t="s">
        <v>359</v>
      </c>
      <c r="F198" s="6" t="s">
        <v>360</v>
      </c>
      <c r="G198" s="7" t="s">
        <v>253</v>
      </c>
      <c r="H198" s="7" t="s">
        <v>44</v>
      </c>
      <c r="I198" s="7" t="s">
        <v>45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5.5" x14ac:dyDescent="0.35">
      <c r="A199" s="9">
        <v>198</v>
      </c>
      <c r="B199" s="26" t="s">
        <v>533</v>
      </c>
      <c r="C199" s="4" t="s">
        <v>534</v>
      </c>
      <c r="D199" s="5" t="s">
        <v>194</v>
      </c>
      <c r="E199" s="4" t="s">
        <v>359</v>
      </c>
      <c r="F199" s="6" t="s">
        <v>360</v>
      </c>
      <c r="G199" s="7" t="s">
        <v>253</v>
      </c>
      <c r="H199" s="7" t="s">
        <v>44</v>
      </c>
      <c r="I199" s="7" t="s">
        <v>45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5.5" x14ac:dyDescent="0.35">
      <c r="A200" s="9">
        <v>199</v>
      </c>
      <c r="B200" s="3" t="s">
        <v>535</v>
      </c>
      <c r="C200" s="4" t="s">
        <v>536</v>
      </c>
      <c r="D200" s="5" t="s">
        <v>23</v>
      </c>
      <c r="E200" s="4" t="s">
        <v>359</v>
      </c>
      <c r="F200" s="6" t="s">
        <v>360</v>
      </c>
      <c r="G200" s="7" t="s">
        <v>253</v>
      </c>
      <c r="H200" s="7" t="s">
        <v>44</v>
      </c>
      <c r="I200" s="7" t="s">
        <v>45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5.5" x14ac:dyDescent="0.35">
      <c r="A201" s="9">
        <v>200</v>
      </c>
      <c r="B201" s="14" t="s">
        <v>537</v>
      </c>
      <c r="C201" s="4" t="s">
        <v>538</v>
      </c>
      <c r="D201" s="5">
        <v>10</v>
      </c>
      <c r="E201" s="6" t="s">
        <v>539</v>
      </c>
      <c r="F201" s="6" t="s">
        <v>540</v>
      </c>
      <c r="G201" s="7" t="s">
        <v>541</v>
      </c>
      <c r="H201" s="7" t="s">
        <v>331</v>
      </c>
      <c r="I201" s="7" t="s">
        <v>331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5.5" x14ac:dyDescent="0.35">
      <c r="A202" s="9">
        <v>201</v>
      </c>
      <c r="B202" s="14" t="s">
        <v>542</v>
      </c>
      <c r="C202" s="4" t="s">
        <v>543</v>
      </c>
      <c r="D202" s="5" t="s">
        <v>76</v>
      </c>
      <c r="E202" s="6" t="s">
        <v>539</v>
      </c>
      <c r="F202" s="6" t="s">
        <v>540</v>
      </c>
      <c r="G202" s="7" t="s">
        <v>541</v>
      </c>
      <c r="H202" s="7" t="s">
        <v>331</v>
      </c>
      <c r="I202" s="7" t="s">
        <v>331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5.5" x14ac:dyDescent="0.35">
      <c r="A203" s="9">
        <v>202</v>
      </c>
      <c r="B203" s="27" t="s">
        <v>544</v>
      </c>
      <c r="C203" s="4" t="s">
        <v>545</v>
      </c>
      <c r="D203" s="5" t="s">
        <v>23</v>
      </c>
      <c r="E203" s="6" t="s">
        <v>539</v>
      </c>
      <c r="F203" s="6" t="s">
        <v>540</v>
      </c>
      <c r="G203" s="7" t="s">
        <v>541</v>
      </c>
      <c r="H203" s="7" t="s">
        <v>331</v>
      </c>
      <c r="I203" s="7" t="s">
        <v>331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31" x14ac:dyDescent="0.35">
      <c r="A204" s="9">
        <v>203</v>
      </c>
      <c r="B204" s="14" t="s">
        <v>546</v>
      </c>
      <c r="C204" s="4" t="s">
        <v>547</v>
      </c>
      <c r="D204" s="5" t="s">
        <v>20</v>
      </c>
      <c r="E204" s="6" t="s">
        <v>277</v>
      </c>
      <c r="F204" s="6" t="s">
        <v>231</v>
      </c>
      <c r="G204" s="22" t="s">
        <v>232</v>
      </c>
      <c r="H204" s="23" t="s">
        <v>233</v>
      </c>
      <c r="I204" s="23" t="s">
        <v>234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31" x14ac:dyDescent="0.35">
      <c r="A205" s="9">
        <v>204</v>
      </c>
      <c r="B205" s="17" t="s">
        <v>548</v>
      </c>
      <c r="C205" s="4" t="s">
        <v>549</v>
      </c>
      <c r="D205" s="5" t="s">
        <v>29</v>
      </c>
      <c r="E205" s="6" t="s">
        <v>277</v>
      </c>
      <c r="F205" s="6" t="s">
        <v>231</v>
      </c>
      <c r="G205" s="22" t="s">
        <v>232</v>
      </c>
      <c r="H205" s="23" t="s">
        <v>233</v>
      </c>
      <c r="I205" s="23" t="s">
        <v>234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31" x14ac:dyDescent="0.35">
      <c r="A206" s="9">
        <v>205</v>
      </c>
      <c r="B206" s="17" t="s">
        <v>550</v>
      </c>
      <c r="C206" s="4" t="s">
        <v>551</v>
      </c>
      <c r="D206" s="5" t="s">
        <v>20</v>
      </c>
      <c r="E206" s="6" t="s">
        <v>277</v>
      </c>
      <c r="F206" s="6" t="s">
        <v>231</v>
      </c>
      <c r="G206" s="22" t="s">
        <v>232</v>
      </c>
      <c r="H206" s="23" t="s">
        <v>233</v>
      </c>
      <c r="I206" s="23" t="s">
        <v>234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15.5" x14ac:dyDescent="0.35">
      <c r="A207" s="9">
        <v>206</v>
      </c>
      <c r="B207" s="10" t="s">
        <v>552</v>
      </c>
      <c r="C207" s="4" t="s">
        <v>553</v>
      </c>
      <c r="D207" s="5" t="s">
        <v>76</v>
      </c>
      <c r="E207" s="6" t="s">
        <v>554</v>
      </c>
      <c r="F207" s="4" t="s">
        <v>555</v>
      </c>
      <c r="G207" s="7" t="s">
        <v>556</v>
      </c>
      <c r="H207" s="7" t="s">
        <v>351</v>
      </c>
      <c r="I207" s="7" t="s">
        <v>71</v>
      </c>
      <c r="J207" s="7" t="s">
        <v>175</v>
      </c>
      <c r="K207" s="7" t="s">
        <v>71</v>
      </c>
      <c r="L207" s="7" t="s">
        <v>71</v>
      </c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5.5" x14ac:dyDescent="0.35">
      <c r="A208" s="9">
        <v>207</v>
      </c>
      <c r="B208" s="3" t="s">
        <v>557</v>
      </c>
      <c r="C208" s="4" t="s">
        <v>558</v>
      </c>
      <c r="D208" s="5" t="s">
        <v>20</v>
      </c>
      <c r="E208" s="6" t="s">
        <v>559</v>
      </c>
      <c r="F208" s="6" t="s">
        <v>560</v>
      </c>
      <c r="G208" s="7" t="s">
        <v>561</v>
      </c>
      <c r="H208" s="7" t="s">
        <v>90</v>
      </c>
      <c r="I208" s="7" t="s">
        <v>90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5.5" x14ac:dyDescent="0.35">
      <c r="A209" s="9">
        <v>208</v>
      </c>
      <c r="B209" s="14" t="s">
        <v>562</v>
      </c>
      <c r="C209" s="4" t="s">
        <v>563</v>
      </c>
      <c r="D209" s="5" t="s">
        <v>194</v>
      </c>
      <c r="E209" s="6" t="s">
        <v>151</v>
      </c>
      <c r="F209" s="6" t="s">
        <v>564</v>
      </c>
      <c r="G209" s="6" t="s">
        <v>565</v>
      </c>
      <c r="H209" s="6" t="s">
        <v>154</v>
      </c>
      <c r="I209" s="6" t="s">
        <v>155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5.5" x14ac:dyDescent="0.35">
      <c r="A210" s="9">
        <v>209</v>
      </c>
      <c r="B210" s="3" t="s">
        <v>566</v>
      </c>
      <c r="C210" s="4" t="s">
        <v>567</v>
      </c>
      <c r="D210" s="5" t="s">
        <v>40</v>
      </c>
      <c r="E210" s="6" t="s">
        <v>568</v>
      </c>
      <c r="F210" s="6" t="s">
        <v>569</v>
      </c>
      <c r="G210" s="7" t="s">
        <v>570</v>
      </c>
      <c r="H210" s="7" t="s">
        <v>493</v>
      </c>
      <c r="I210" s="7" t="s">
        <v>494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5.5" x14ac:dyDescent="0.35">
      <c r="A211" s="9">
        <v>210</v>
      </c>
      <c r="B211" s="3" t="s">
        <v>571</v>
      </c>
      <c r="C211" s="4" t="s">
        <v>572</v>
      </c>
      <c r="D211" s="5" t="s">
        <v>29</v>
      </c>
      <c r="E211" s="6" t="s">
        <v>568</v>
      </c>
      <c r="F211" s="6" t="s">
        <v>569</v>
      </c>
      <c r="G211" s="7" t="s">
        <v>570</v>
      </c>
      <c r="H211" s="7" t="s">
        <v>493</v>
      </c>
      <c r="I211" s="7" t="s">
        <v>494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31" x14ac:dyDescent="0.35">
      <c r="A212" s="9">
        <v>211</v>
      </c>
      <c r="B212" s="3" t="s">
        <v>573</v>
      </c>
      <c r="C212" s="4" t="s">
        <v>574</v>
      </c>
      <c r="D212" s="5" t="s">
        <v>76</v>
      </c>
      <c r="E212" s="6" t="s">
        <v>30</v>
      </c>
      <c r="F212" s="6" t="s">
        <v>31</v>
      </c>
      <c r="G212" s="11" t="s">
        <v>32</v>
      </c>
      <c r="H212" s="12" t="s">
        <v>33</v>
      </c>
      <c r="I212" s="7" t="s">
        <v>34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5.5" x14ac:dyDescent="0.35">
      <c r="A213" s="9">
        <v>212</v>
      </c>
      <c r="B213" s="28" t="s">
        <v>575</v>
      </c>
      <c r="C213" s="4" t="s">
        <v>576</v>
      </c>
      <c r="D213" s="5" t="s">
        <v>194</v>
      </c>
      <c r="E213" s="6" t="s">
        <v>577</v>
      </c>
      <c r="F213" s="4" t="s">
        <v>578</v>
      </c>
      <c r="G213" s="7" t="s">
        <v>570</v>
      </c>
      <c r="H213" s="7" t="s">
        <v>493</v>
      </c>
      <c r="I213" s="7" t="s">
        <v>494</v>
      </c>
      <c r="J213" s="7" t="s">
        <v>57</v>
      </c>
      <c r="K213" s="13" t="s">
        <v>44</v>
      </c>
      <c r="L213" s="13" t="s">
        <v>45</v>
      </c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15.5" x14ac:dyDescent="0.35">
      <c r="A214" s="9">
        <v>213</v>
      </c>
      <c r="B214" s="14" t="s">
        <v>579</v>
      </c>
      <c r="C214" s="4" t="s">
        <v>580</v>
      </c>
      <c r="D214" s="15" t="s">
        <v>29</v>
      </c>
      <c r="E214" s="6" t="s">
        <v>577</v>
      </c>
      <c r="F214" s="4" t="s">
        <v>578</v>
      </c>
      <c r="G214" s="7" t="s">
        <v>570</v>
      </c>
      <c r="H214" s="7" t="s">
        <v>493</v>
      </c>
      <c r="I214" s="7" t="s">
        <v>494</v>
      </c>
      <c r="J214" s="7" t="s">
        <v>57</v>
      </c>
      <c r="K214" s="13" t="s">
        <v>44</v>
      </c>
      <c r="L214" s="13" t="s">
        <v>45</v>
      </c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31" x14ac:dyDescent="0.35">
      <c r="A215" s="9">
        <v>214</v>
      </c>
      <c r="B215" s="27" t="s">
        <v>581</v>
      </c>
      <c r="C215" s="4" t="s">
        <v>582</v>
      </c>
      <c r="D215" s="5" t="s">
        <v>29</v>
      </c>
      <c r="E215" s="6" t="s">
        <v>583</v>
      </c>
      <c r="F215" s="6" t="s">
        <v>584</v>
      </c>
      <c r="G215" s="11" t="s">
        <v>585</v>
      </c>
      <c r="H215" s="6" t="s">
        <v>493</v>
      </c>
      <c r="I215" s="6" t="s">
        <v>494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46.5" x14ac:dyDescent="0.35">
      <c r="A216" s="9">
        <v>215</v>
      </c>
      <c r="B216" s="3" t="s">
        <v>586</v>
      </c>
      <c r="C216" s="6" t="s">
        <v>587</v>
      </c>
      <c r="D216" s="5" t="s">
        <v>29</v>
      </c>
      <c r="E216" s="6" t="s">
        <v>41</v>
      </c>
      <c r="F216" s="6" t="s">
        <v>42</v>
      </c>
      <c r="G216" s="11" t="s">
        <v>43</v>
      </c>
      <c r="H216" s="7" t="s">
        <v>493</v>
      </c>
      <c r="I216" s="7" t="s">
        <v>494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46.5" x14ac:dyDescent="0.35">
      <c r="A217" s="9">
        <v>216</v>
      </c>
      <c r="B217" s="10" t="s">
        <v>588</v>
      </c>
      <c r="C217" s="4" t="s">
        <v>589</v>
      </c>
      <c r="D217" s="5">
        <v>11</v>
      </c>
      <c r="E217" s="6" t="s">
        <v>41</v>
      </c>
      <c r="F217" s="6" t="s">
        <v>42</v>
      </c>
      <c r="G217" s="11" t="s">
        <v>43</v>
      </c>
      <c r="H217" s="7" t="s">
        <v>493</v>
      </c>
      <c r="I217" s="7" t="s">
        <v>494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15.5" x14ac:dyDescent="0.35">
      <c r="A218" s="9">
        <v>217</v>
      </c>
      <c r="B218" s="3" t="s">
        <v>590</v>
      </c>
      <c r="C218" s="6" t="s">
        <v>591</v>
      </c>
      <c r="D218" s="5" t="s">
        <v>29</v>
      </c>
      <c r="E218" s="6" t="s">
        <v>554</v>
      </c>
      <c r="F218" s="6" t="s">
        <v>592</v>
      </c>
      <c r="G218" s="7" t="s">
        <v>556</v>
      </c>
      <c r="H218" s="7" t="s">
        <v>493</v>
      </c>
      <c r="I218" s="7" t="s">
        <v>494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15.5" x14ac:dyDescent="0.35">
      <c r="A219" s="9">
        <v>218</v>
      </c>
      <c r="B219" s="10" t="s">
        <v>593</v>
      </c>
      <c r="C219" s="6" t="s">
        <v>594</v>
      </c>
      <c r="D219" s="5" t="s">
        <v>40</v>
      </c>
      <c r="E219" s="6" t="s">
        <v>554</v>
      </c>
      <c r="F219" s="6" t="s">
        <v>592</v>
      </c>
      <c r="G219" s="7" t="s">
        <v>556</v>
      </c>
      <c r="H219" s="7" t="s">
        <v>493</v>
      </c>
      <c r="I219" s="7" t="s">
        <v>494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15.5" x14ac:dyDescent="0.35">
      <c r="A220" s="9">
        <v>219</v>
      </c>
      <c r="B220" s="3" t="s">
        <v>595</v>
      </c>
      <c r="C220" s="4" t="s">
        <v>596</v>
      </c>
      <c r="D220" s="5" t="s">
        <v>29</v>
      </c>
      <c r="E220" s="6" t="s">
        <v>554</v>
      </c>
      <c r="F220" s="6" t="s">
        <v>592</v>
      </c>
      <c r="G220" s="7" t="s">
        <v>556</v>
      </c>
      <c r="H220" s="7" t="s">
        <v>493</v>
      </c>
      <c r="I220" s="7" t="s">
        <v>494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15.5" x14ac:dyDescent="0.35">
      <c r="A221" s="9">
        <v>220</v>
      </c>
      <c r="B221" s="3" t="s">
        <v>597</v>
      </c>
      <c r="C221" s="4" t="s">
        <v>598</v>
      </c>
      <c r="D221" s="5" t="s">
        <v>29</v>
      </c>
      <c r="E221" s="6" t="s">
        <v>554</v>
      </c>
      <c r="F221" s="6" t="s">
        <v>599</v>
      </c>
      <c r="G221" s="7" t="s">
        <v>70</v>
      </c>
      <c r="H221" s="7" t="s">
        <v>493</v>
      </c>
      <c r="I221" s="7" t="s">
        <v>494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5.5" x14ac:dyDescent="0.35">
      <c r="A222" s="9">
        <v>221</v>
      </c>
      <c r="B222" s="3" t="s">
        <v>600</v>
      </c>
      <c r="C222" s="4" t="s">
        <v>601</v>
      </c>
      <c r="D222" s="5" t="s">
        <v>29</v>
      </c>
      <c r="E222" s="6" t="s">
        <v>554</v>
      </c>
      <c r="F222" s="6" t="s">
        <v>602</v>
      </c>
      <c r="G222" s="7" t="s">
        <v>351</v>
      </c>
      <c r="H222" s="7" t="s">
        <v>493</v>
      </c>
      <c r="I222" s="7" t="s">
        <v>494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5.5" x14ac:dyDescent="0.35">
      <c r="A223" s="9">
        <v>222</v>
      </c>
      <c r="B223" s="14" t="s">
        <v>603</v>
      </c>
      <c r="C223" s="4" t="s">
        <v>604</v>
      </c>
      <c r="D223" s="5" t="s">
        <v>29</v>
      </c>
      <c r="E223" s="6" t="s">
        <v>554</v>
      </c>
      <c r="F223" s="6" t="s">
        <v>602</v>
      </c>
      <c r="G223" s="7" t="s">
        <v>351</v>
      </c>
      <c r="H223" s="7" t="s">
        <v>493</v>
      </c>
      <c r="I223" s="7" t="s">
        <v>494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5.5" x14ac:dyDescent="0.35">
      <c r="A224" s="9">
        <v>223</v>
      </c>
      <c r="B224" s="14" t="s">
        <v>605</v>
      </c>
      <c r="C224" s="4" t="s">
        <v>606</v>
      </c>
      <c r="D224" s="5">
        <v>0</v>
      </c>
      <c r="E224" s="6" t="s">
        <v>554</v>
      </c>
      <c r="F224" s="6" t="s">
        <v>592</v>
      </c>
      <c r="G224" s="7" t="s">
        <v>556</v>
      </c>
      <c r="H224" s="7" t="s">
        <v>493</v>
      </c>
      <c r="I224" s="7" t="s">
        <v>494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5.5" x14ac:dyDescent="0.35">
      <c r="A225" s="9">
        <v>224</v>
      </c>
      <c r="B225" s="3" t="s">
        <v>607</v>
      </c>
      <c r="C225" s="4" t="s">
        <v>608</v>
      </c>
      <c r="D225" s="5" t="s">
        <v>20</v>
      </c>
      <c r="E225" s="6" t="s">
        <v>554</v>
      </c>
      <c r="F225" s="6" t="s">
        <v>602</v>
      </c>
      <c r="G225" s="7" t="s">
        <v>351</v>
      </c>
      <c r="H225" s="7" t="s">
        <v>493</v>
      </c>
      <c r="I225" s="7" t="s">
        <v>494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31" x14ac:dyDescent="0.35">
      <c r="A226" s="9">
        <v>225</v>
      </c>
      <c r="B226" s="3" t="s">
        <v>609</v>
      </c>
      <c r="C226" s="4" t="s">
        <v>610</v>
      </c>
      <c r="D226" s="5">
        <v>12</v>
      </c>
      <c r="E226" s="6" t="s">
        <v>611</v>
      </c>
      <c r="F226" s="4" t="s">
        <v>612</v>
      </c>
      <c r="G226" s="29" t="s">
        <v>585</v>
      </c>
      <c r="H226" s="6" t="s">
        <v>493</v>
      </c>
      <c r="I226" s="6" t="s">
        <v>494</v>
      </c>
      <c r="J226" s="7" t="s">
        <v>561</v>
      </c>
      <c r="K226" s="7" t="s">
        <v>90</v>
      </c>
      <c r="L226" s="7" t="s">
        <v>90</v>
      </c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31" x14ac:dyDescent="0.35">
      <c r="A227" s="9">
        <v>226</v>
      </c>
      <c r="B227" s="14" t="s">
        <v>613</v>
      </c>
      <c r="C227" s="4" t="s">
        <v>614</v>
      </c>
      <c r="D227" s="5" t="s">
        <v>40</v>
      </c>
      <c r="E227" s="6" t="s">
        <v>583</v>
      </c>
      <c r="F227" s="6" t="s">
        <v>615</v>
      </c>
      <c r="G227" s="11" t="s">
        <v>616</v>
      </c>
      <c r="H227" s="7" t="s">
        <v>493</v>
      </c>
      <c r="I227" s="7" t="s">
        <v>494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5.5" x14ac:dyDescent="0.35">
      <c r="A228" s="9">
        <v>227</v>
      </c>
      <c r="B228" s="14" t="s">
        <v>617</v>
      </c>
      <c r="C228" s="6" t="s">
        <v>618</v>
      </c>
      <c r="D228" s="5" t="s">
        <v>23</v>
      </c>
      <c r="E228" s="6" t="s">
        <v>619</v>
      </c>
      <c r="F228" s="6" t="s">
        <v>560</v>
      </c>
      <c r="G228" s="7" t="s">
        <v>620</v>
      </c>
      <c r="H228" s="7" t="s">
        <v>493</v>
      </c>
      <c r="I228" s="7" t="s">
        <v>494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5.5" x14ac:dyDescent="0.35">
      <c r="A229" s="9">
        <v>228</v>
      </c>
      <c r="B229" s="14" t="s">
        <v>621</v>
      </c>
      <c r="C229" s="6" t="s">
        <v>622</v>
      </c>
      <c r="D229" s="5" t="s">
        <v>76</v>
      </c>
      <c r="E229" s="6" t="s">
        <v>619</v>
      </c>
      <c r="F229" s="6" t="s">
        <v>560</v>
      </c>
      <c r="G229" s="7" t="s">
        <v>623</v>
      </c>
      <c r="H229" s="13" t="s">
        <v>493</v>
      </c>
      <c r="I229" s="13" t="s">
        <v>494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5.5" x14ac:dyDescent="0.35">
      <c r="A230" s="9">
        <v>229</v>
      </c>
      <c r="B230" s="14" t="s">
        <v>624</v>
      </c>
      <c r="C230" s="6" t="s">
        <v>625</v>
      </c>
      <c r="D230" s="5" t="s">
        <v>52</v>
      </c>
      <c r="E230" s="6" t="s">
        <v>619</v>
      </c>
      <c r="F230" s="6" t="s">
        <v>560</v>
      </c>
      <c r="G230" s="7" t="s">
        <v>626</v>
      </c>
      <c r="H230" s="13" t="s">
        <v>493</v>
      </c>
      <c r="I230" s="13" t="s">
        <v>494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5.5" x14ac:dyDescent="0.35">
      <c r="A231" s="9">
        <v>230</v>
      </c>
      <c r="B231" s="3" t="s">
        <v>627</v>
      </c>
      <c r="C231" s="4" t="s">
        <v>628</v>
      </c>
      <c r="D231" s="5" t="s">
        <v>23</v>
      </c>
      <c r="E231" s="6" t="s">
        <v>619</v>
      </c>
      <c r="F231" s="6" t="s">
        <v>560</v>
      </c>
      <c r="G231" s="7" t="s">
        <v>620</v>
      </c>
      <c r="H231" s="7" t="s">
        <v>493</v>
      </c>
      <c r="I231" s="7" t="s">
        <v>494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5.5" x14ac:dyDescent="0.35">
      <c r="A232" s="9">
        <v>231</v>
      </c>
      <c r="B232" s="14" t="s">
        <v>629</v>
      </c>
      <c r="C232" s="6" t="s">
        <v>630</v>
      </c>
      <c r="D232" s="5" t="s">
        <v>37</v>
      </c>
      <c r="E232" s="6" t="s">
        <v>619</v>
      </c>
      <c r="F232" s="6" t="s">
        <v>560</v>
      </c>
      <c r="G232" s="7" t="s">
        <v>620</v>
      </c>
      <c r="H232" s="7" t="s">
        <v>493</v>
      </c>
      <c r="I232" s="7" t="s">
        <v>494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5.5" x14ac:dyDescent="0.35">
      <c r="A233" s="9">
        <v>232</v>
      </c>
      <c r="B233" s="14" t="s">
        <v>631</v>
      </c>
      <c r="C233" s="6" t="s">
        <v>632</v>
      </c>
      <c r="D233" s="5" t="s">
        <v>20</v>
      </c>
      <c r="E233" s="6" t="s">
        <v>619</v>
      </c>
      <c r="F233" s="6" t="s">
        <v>560</v>
      </c>
      <c r="G233" s="7" t="s">
        <v>620</v>
      </c>
      <c r="H233" s="7" t="s">
        <v>493</v>
      </c>
      <c r="I233" s="7" t="s">
        <v>494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5.5" x14ac:dyDescent="0.35">
      <c r="A234" s="9">
        <v>233</v>
      </c>
      <c r="B234" s="14" t="s">
        <v>633</v>
      </c>
      <c r="C234" s="4" t="s">
        <v>634</v>
      </c>
      <c r="D234" s="5" t="s">
        <v>29</v>
      </c>
      <c r="E234" s="6" t="s">
        <v>583</v>
      </c>
      <c r="F234" s="6" t="s">
        <v>635</v>
      </c>
      <c r="G234" s="30" t="s">
        <v>636</v>
      </c>
      <c r="H234" s="13" t="s">
        <v>493</v>
      </c>
      <c r="I234" s="13" t="s">
        <v>494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46.5" x14ac:dyDescent="0.35">
      <c r="A235" s="9">
        <v>234</v>
      </c>
      <c r="B235" s="10" t="s">
        <v>637</v>
      </c>
      <c r="C235" s="4" t="s">
        <v>638</v>
      </c>
      <c r="D235" s="5" t="s">
        <v>20</v>
      </c>
      <c r="E235" s="6" t="s">
        <v>41</v>
      </c>
      <c r="F235" s="6" t="s">
        <v>42</v>
      </c>
      <c r="G235" s="11" t="s">
        <v>43</v>
      </c>
      <c r="H235" s="7" t="s">
        <v>493</v>
      </c>
      <c r="I235" s="7" t="s">
        <v>494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46.5" x14ac:dyDescent="0.35">
      <c r="A236" s="9">
        <v>235</v>
      </c>
      <c r="B236" s="3" t="s">
        <v>639</v>
      </c>
      <c r="C236" s="4" t="s">
        <v>640</v>
      </c>
      <c r="D236" s="5" t="s">
        <v>76</v>
      </c>
      <c r="E236" s="6" t="s">
        <v>41</v>
      </c>
      <c r="F236" s="6" t="s">
        <v>42</v>
      </c>
      <c r="G236" s="11" t="s">
        <v>43</v>
      </c>
      <c r="H236" s="7" t="s">
        <v>493</v>
      </c>
      <c r="I236" s="7" t="s">
        <v>494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46.5" x14ac:dyDescent="0.35">
      <c r="A237" s="9">
        <v>236</v>
      </c>
      <c r="B237" s="3" t="s">
        <v>641</v>
      </c>
      <c r="C237" s="4" t="s">
        <v>642</v>
      </c>
      <c r="D237" s="5" t="s">
        <v>29</v>
      </c>
      <c r="E237" s="6" t="s">
        <v>41</v>
      </c>
      <c r="F237" s="6" t="s">
        <v>42</v>
      </c>
      <c r="G237" s="11" t="s">
        <v>43</v>
      </c>
      <c r="H237" s="7" t="s">
        <v>493</v>
      </c>
      <c r="I237" s="7" t="s">
        <v>494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5.5" x14ac:dyDescent="0.35">
      <c r="A238" s="9">
        <v>237</v>
      </c>
      <c r="B238" s="31" t="s">
        <v>643</v>
      </c>
      <c r="C238" s="4" t="s">
        <v>644</v>
      </c>
      <c r="D238" s="15">
        <v>0</v>
      </c>
      <c r="E238" s="4" t="s">
        <v>645</v>
      </c>
      <c r="F238" s="4" t="s">
        <v>646</v>
      </c>
      <c r="G238" s="7" t="s">
        <v>647</v>
      </c>
      <c r="H238" s="7" t="s">
        <v>493</v>
      </c>
      <c r="I238" s="7" t="s">
        <v>494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31" x14ac:dyDescent="0.35">
      <c r="A239" s="9">
        <v>238</v>
      </c>
      <c r="B239" s="27" t="s">
        <v>648</v>
      </c>
      <c r="C239" s="4" t="s">
        <v>649</v>
      </c>
      <c r="D239" s="5" t="s">
        <v>23</v>
      </c>
      <c r="E239" s="6" t="s">
        <v>611</v>
      </c>
      <c r="F239" s="4" t="s">
        <v>612</v>
      </c>
      <c r="G239" s="29" t="s">
        <v>585</v>
      </c>
      <c r="H239" s="6" t="s">
        <v>493</v>
      </c>
      <c r="I239" s="6" t="s">
        <v>494</v>
      </c>
      <c r="J239" s="7" t="s">
        <v>561</v>
      </c>
      <c r="K239" s="7" t="s">
        <v>90</v>
      </c>
      <c r="L239" s="7" t="s">
        <v>90</v>
      </c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5.5" x14ac:dyDescent="0.35">
      <c r="A240" s="9">
        <v>239</v>
      </c>
      <c r="B240" s="10" t="s">
        <v>650</v>
      </c>
      <c r="C240" s="4" t="s">
        <v>651</v>
      </c>
      <c r="D240" s="5" t="s">
        <v>17</v>
      </c>
      <c r="E240" s="6" t="s">
        <v>619</v>
      </c>
      <c r="F240" s="6" t="s">
        <v>560</v>
      </c>
      <c r="G240" s="7" t="s">
        <v>561</v>
      </c>
      <c r="H240" s="7" t="s">
        <v>493</v>
      </c>
      <c r="I240" s="7" t="s">
        <v>494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5.5" x14ac:dyDescent="0.35">
      <c r="A241" s="9">
        <v>240</v>
      </c>
      <c r="B241" s="14" t="s">
        <v>652</v>
      </c>
      <c r="C241" s="4" t="s">
        <v>653</v>
      </c>
      <c r="D241" s="5" t="s">
        <v>20</v>
      </c>
      <c r="E241" s="6" t="s">
        <v>619</v>
      </c>
      <c r="F241" s="6" t="s">
        <v>560</v>
      </c>
      <c r="G241" s="7" t="s">
        <v>620</v>
      </c>
      <c r="H241" s="7" t="s">
        <v>493</v>
      </c>
      <c r="I241" s="7" t="s">
        <v>494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5.5" x14ac:dyDescent="0.35">
      <c r="A242" s="9">
        <v>241</v>
      </c>
      <c r="B242" s="14" t="s">
        <v>654</v>
      </c>
      <c r="C242" s="6" t="s">
        <v>655</v>
      </c>
      <c r="D242" s="5" t="s">
        <v>76</v>
      </c>
      <c r="E242" s="6" t="s">
        <v>559</v>
      </c>
      <c r="F242" s="6" t="s">
        <v>560</v>
      </c>
      <c r="G242" s="7" t="s">
        <v>620</v>
      </c>
      <c r="H242" s="7" t="s">
        <v>493</v>
      </c>
      <c r="I242" s="7" t="s">
        <v>494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31" x14ac:dyDescent="0.35">
      <c r="A243" s="9">
        <v>242</v>
      </c>
      <c r="B243" s="27" t="s">
        <v>656</v>
      </c>
      <c r="C243" s="4" t="s">
        <v>657</v>
      </c>
      <c r="D243" s="5" t="s">
        <v>17</v>
      </c>
      <c r="E243" s="6" t="s">
        <v>583</v>
      </c>
      <c r="F243" s="6" t="s">
        <v>615</v>
      </c>
      <c r="G243" s="11" t="s">
        <v>616</v>
      </c>
      <c r="H243" s="7" t="s">
        <v>493</v>
      </c>
      <c r="I243" s="7" t="s">
        <v>494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31" x14ac:dyDescent="0.35">
      <c r="A244" s="9">
        <v>243</v>
      </c>
      <c r="B244" s="3" t="s">
        <v>658</v>
      </c>
      <c r="C244" s="4" t="s">
        <v>659</v>
      </c>
      <c r="D244" s="5" t="s">
        <v>20</v>
      </c>
      <c r="E244" s="6" t="s">
        <v>583</v>
      </c>
      <c r="F244" s="6" t="s">
        <v>584</v>
      </c>
      <c r="G244" s="11" t="s">
        <v>585</v>
      </c>
      <c r="H244" s="6" t="s">
        <v>493</v>
      </c>
      <c r="I244" s="6" t="s">
        <v>494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5.5" x14ac:dyDescent="0.35">
      <c r="A245" s="9">
        <v>244</v>
      </c>
      <c r="B245" s="3" t="s">
        <v>660</v>
      </c>
      <c r="C245" s="4" t="s">
        <v>661</v>
      </c>
      <c r="D245" s="5" t="s">
        <v>29</v>
      </c>
      <c r="E245" s="6" t="s">
        <v>619</v>
      </c>
      <c r="F245" s="6" t="s">
        <v>560</v>
      </c>
      <c r="G245" s="7" t="s">
        <v>620</v>
      </c>
      <c r="H245" s="7" t="s">
        <v>493</v>
      </c>
      <c r="I245" s="7" t="s">
        <v>494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5.5" x14ac:dyDescent="0.35">
      <c r="A246" s="9">
        <v>245</v>
      </c>
      <c r="B246" s="17" t="s">
        <v>662</v>
      </c>
      <c r="C246" s="4" t="s">
        <v>663</v>
      </c>
      <c r="D246" s="5" t="s">
        <v>29</v>
      </c>
      <c r="E246" s="6" t="s">
        <v>619</v>
      </c>
      <c r="F246" s="6" t="s">
        <v>560</v>
      </c>
      <c r="G246" s="7" t="s">
        <v>620</v>
      </c>
      <c r="H246" s="7" t="s">
        <v>493</v>
      </c>
      <c r="I246" s="7" t="s">
        <v>494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31" x14ac:dyDescent="0.35">
      <c r="A247" s="9">
        <v>246</v>
      </c>
      <c r="B247" s="17" t="s">
        <v>664</v>
      </c>
      <c r="C247" s="4" t="s">
        <v>665</v>
      </c>
      <c r="D247" s="5">
        <v>0</v>
      </c>
      <c r="E247" s="6" t="s">
        <v>583</v>
      </c>
      <c r="F247" s="6" t="s">
        <v>584</v>
      </c>
      <c r="G247" s="11" t="s">
        <v>585</v>
      </c>
      <c r="H247" s="6" t="s">
        <v>493</v>
      </c>
      <c r="I247" s="6" t="s">
        <v>494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5.5" x14ac:dyDescent="0.35">
      <c r="A248" s="9">
        <v>247</v>
      </c>
      <c r="B248" s="32" t="s">
        <v>666</v>
      </c>
      <c r="C248" s="4" t="s">
        <v>667</v>
      </c>
      <c r="D248" s="5">
        <v>10</v>
      </c>
      <c r="E248" s="6" t="s">
        <v>668</v>
      </c>
      <c r="F248" s="6" t="s">
        <v>56</v>
      </c>
      <c r="G248" s="7" t="s">
        <v>57</v>
      </c>
      <c r="H248" s="13" t="s">
        <v>44</v>
      </c>
      <c r="I248" s="13" t="s">
        <v>45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5.5" x14ac:dyDescent="0.35">
      <c r="A249" s="9">
        <v>248</v>
      </c>
      <c r="B249" s="33" t="s">
        <v>669</v>
      </c>
      <c r="C249" s="6" t="s">
        <v>670</v>
      </c>
      <c r="D249" s="5" t="s">
        <v>76</v>
      </c>
      <c r="E249" s="6" t="s">
        <v>668</v>
      </c>
      <c r="F249" s="6" t="s">
        <v>56</v>
      </c>
      <c r="G249" s="7" t="s">
        <v>57</v>
      </c>
      <c r="H249" s="13" t="s">
        <v>44</v>
      </c>
      <c r="I249" s="13" t="s">
        <v>45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5.5" x14ac:dyDescent="0.35">
      <c r="A250" s="9">
        <v>249</v>
      </c>
      <c r="B250" s="33" t="s">
        <v>671</v>
      </c>
      <c r="C250" s="6" t="s">
        <v>672</v>
      </c>
      <c r="D250" s="5" t="s">
        <v>20</v>
      </c>
      <c r="E250" s="6" t="s">
        <v>668</v>
      </c>
      <c r="F250" s="6" t="s">
        <v>56</v>
      </c>
      <c r="G250" s="7" t="s">
        <v>57</v>
      </c>
      <c r="H250" s="13" t="s">
        <v>44</v>
      </c>
      <c r="I250" s="13" t="s">
        <v>45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5.5" x14ac:dyDescent="0.35">
      <c r="A251" s="9">
        <v>250</v>
      </c>
      <c r="B251" s="32" t="s">
        <v>673</v>
      </c>
      <c r="C251" s="6" t="s">
        <v>674</v>
      </c>
      <c r="D251" s="5" t="s">
        <v>194</v>
      </c>
      <c r="E251" s="6" t="s">
        <v>668</v>
      </c>
      <c r="F251" s="6" t="s">
        <v>56</v>
      </c>
      <c r="G251" s="7" t="s">
        <v>57</v>
      </c>
      <c r="H251" s="13" t="s">
        <v>44</v>
      </c>
      <c r="I251" s="13" t="s">
        <v>45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46.5" x14ac:dyDescent="0.35">
      <c r="A252" s="9">
        <v>251</v>
      </c>
      <c r="B252" s="32" t="s">
        <v>675</v>
      </c>
      <c r="C252" s="4" t="s">
        <v>676</v>
      </c>
      <c r="D252" s="5" t="s">
        <v>40</v>
      </c>
      <c r="E252" s="6" t="s">
        <v>490</v>
      </c>
      <c r="F252" s="4" t="s">
        <v>491</v>
      </c>
      <c r="G252" s="11" t="s">
        <v>492</v>
      </c>
      <c r="H252" s="6" t="s">
        <v>493</v>
      </c>
      <c r="I252" s="6" t="s">
        <v>494</v>
      </c>
      <c r="J252" s="11" t="s">
        <v>43</v>
      </c>
      <c r="K252" s="7" t="s">
        <v>44</v>
      </c>
      <c r="L252" s="7" t="s">
        <v>45</v>
      </c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5.5" x14ac:dyDescent="0.35">
      <c r="A253" s="34">
        <v>252</v>
      </c>
      <c r="B253" s="35" t="s">
        <v>677</v>
      </c>
      <c r="C253" s="36" t="s">
        <v>678</v>
      </c>
      <c r="D253" s="37" t="s">
        <v>23</v>
      </c>
      <c r="E253" s="38" t="s">
        <v>668</v>
      </c>
      <c r="F253" s="38" t="s">
        <v>56</v>
      </c>
      <c r="G253" s="39" t="s">
        <v>57</v>
      </c>
      <c r="H253" s="40" t="s">
        <v>44</v>
      </c>
      <c r="I253" s="40" t="s">
        <v>45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5" spans="1:21" x14ac:dyDescent="0.35">
      <c r="G255" s="41"/>
    </row>
    <row r="256" spans="1:21" x14ac:dyDescent="0.35">
      <c r="G256" s="41"/>
    </row>
    <row r="257" spans="6:9" x14ac:dyDescent="0.35">
      <c r="G257" s="41"/>
      <c r="H257" s="41"/>
      <c r="I257" s="41"/>
    </row>
    <row r="258" spans="6:9" x14ac:dyDescent="0.35">
      <c r="G258" s="41"/>
    </row>
    <row r="259" spans="6:9" x14ac:dyDescent="0.35">
      <c r="G259" s="41"/>
    </row>
    <row r="260" spans="6:9" x14ac:dyDescent="0.35">
      <c r="G260" s="41"/>
    </row>
    <row r="261" spans="6:9" x14ac:dyDescent="0.35">
      <c r="F261" s="42"/>
    </row>
  </sheetData>
  <autoFilter ref="A1:I253" xr:uid="{00000000-0009-0000-0000-000000000000}"/>
  <hyperlinks>
    <hyperlink ref="B4" r:id="rId1" xr:uid="{00000000-0004-0000-0000-000000000000}"/>
    <hyperlink ref="B3" r:id="rId2" xr:uid="{00000000-0004-0000-0000-000001000000}"/>
    <hyperlink ref="B5" r:id="rId3" xr:uid="{00000000-0004-0000-0000-000002000000}"/>
    <hyperlink ref="B2" r:id="rId4" xr:uid="{00000000-0004-0000-0000-000003000000}"/>
    <hyperlink ref="B7" r:id="rId5" display="1.2 Work In Process Finish Good" xr:uid="{00000000-0004-0000-0000-000004000000}"/>
    <hyperlink ref="B6" r:id="rId6" xr:uid="{00000000-0004-0000-0000-000005000000}"/>
    <hyperlink ref="B9" r:id="rId7" display="Quality meeting" xr:uid="{00000000-0004-0000-0000-000006000000}"/>
    <hyperlink ref="B8" r:id="rId8" xr:uid="{00000000-0004-0000-0000-000007000000}"/>
    <hyperlink ref="B11" r:id="rId9" xr:uid="{00000000-0004-0000-0000-000008000000}"/>
    <hyperlink ref="B12" r:id="rId10" xr:uid="{00000000-0004-0000-0000-000009000000}"/>
    <hyperlink ref="B10" r:id="rId11" xr:uid="{00000000-0004-0000-0000-00000A000000}"/>
    <hyperlink ref="B13" r:id="rId12" xr:uid="{00000000-0004-0000-0000-00000B000000}"/>
    <hyperlink ref="B15" r:id="rId13" xr:uid="{00000000-0004-0000-0000-00000C000000}"/>
    <hyperlink ref="B17" r:id="rId14" xr:uid="{00000000-0004-0000-0000-00000D000000}"/>
    <hyperlink ref="B18" r:id="rId15" xr:uid="{00000000-0004-0000-0000-00000E000000}"/>
    <hyperlink ref="B16" r:id="rId16" xr:uid="{00000000-0004-0000-0000-00000F000000}"/>
    <hyperlink ref="B14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30" r:id="rId25" xr:uid="{00000000-0004-0000-0000-000018000000}"/>
    <hyperlink ref="B26" r:id="rId26" xr:uid="{00000000-0004-0000-0000-000019000000}"/>
    <hyperlink ref="B28" r:id="rId27" xr:uid="{00000000-0004-0000-0000-00001A000000}"/>
    <hyperlink ref="B27" r:id="rId28" xr:uid="{00000000-0004-0000-0000-00001B000000}"/>
    <hyperlink ref="B29" r:id="rId29" xr:uid="{00000000-0004-0000-0000-00001C000000}"/>
    <hyperlink ref="B32" r:id="rId30" xr:uid="{00000000-0004-0000-0000-00001D000000}"/>
    <hyperlink ref="B31" r:id="rId31" xr:uid="{00000000-0004-0000-0000-00001E000000}"/>
    <hyperlink ref="B56" r:id="rId32" display="1.2 Form Pick up Problem" xr:uid="{00000000-0004-0000-0000-00001F000000}"/>
    <hyperlink ref="B63" r:id="rId33" display="1.9 Offline training &amp; HVPT" xr:uid="{00000000-0004-0000-0000-000020000000}"/>
    <hyperlink ref="B57" r:id="rId34" display="1.3 Risk Assessment" xr:uid="{00000000-0004-0000-0000-000021000000}"/>
    <hyperlink ref="B54" r:id="rId35" xr:uid="{00000000-0004-0000-0000-000022000000}"/>
    <hyperlink ref="B55" r:id="rId36" xr:uid="{00000000-0004-0000-0000-000023000000}"/>
    <hyperlink ref="B61" r:id="rId37" display="Pembuatan &amp; Review Berkala Dokumen PFMEA" xr:uid="{00000000-0004-0000-0000-000024000000}"/>
    <hyperlink ref="B62" r:id="rId38" xr:uid="{00000000-0004-0000-0000-000025000000}"/>
    <hyperlink ref="B42" r:id="rId39" xr:uid="{00000000-0004-0000-0000-000026000000}"/>
    <hyperlink ref="B58" r:id="rId40" xr:uid="{00000000-0004-0000-0000-000027000000}"/>
    <hyperlink ref="B59" r:id="rId41" xr:uid="{00000000-0004-0000-0000-000028000000}"/>
    <hyperlink ref="B47" r:id="rId42" xr:uid="{00000000-0004-0000-0000-000029000000}"/>
    <hyperlink ref="B41" r:id="rId43" xr:uid="{00000000-0004-0000-0000-00002A000000}"/>
    <hyperlink ref="B33" r:id="rId44" xr:uid="{00000000-0004-0000-0000-00002B000000}"/>
    <hyperlink ref="B40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35" r:id="rId50" xr:uid="{00000000-0004-0000-0000-000031000000}"/>
    <hyperlink ref="B34" r:id="rId51" xr:uid="{00000000-0004-0000-0000-000032000000}"/>
    <hyperlink ref="B38" r:id="rId52" xr:uid="{00000000-0004-0000-0000-000033000000}"/>
    <hyperlink ref="B39" r:id="rId53" xr:uid="{00000000-0004-0000-0000-000034000000}"/>
    <hyperlink ref="B43" r:id="rId54" xr:uid="{00000000-0004-0000-0000-000035000000}"/>
    <hyperlink ref="B44" r:id="rId55" xr:uid="{00000000-0004-0000-0000-000036000000}"/>
    <hyperlink ref="B36" r:id="rId56" display="Sistem Promosi Group Leader dan Line Leader" xr:uid="{00000000-0004-0000-0000-000037000000}"/>
    <hyperlink ref="B45" r:id="rId57" xr:uid="{00000000-0004-0000-0000-000038000000}"/>
    <hyperlink ref="B53" r:id="rId58" xr:uid="{00000000-0004-0000-0000-000039000000}"/>
    <hyperlink ref="B46" r:id="rId59" xr:uid="{00000000-0004-0000-0000-00003A000000}"/>
    <hyperlink ref="B52" r:id="rId60" xr:uid="{00000000-0004-0000-0000-00003B000000}"/>
    <hyperlink ref="B37" r:id="rId61" xr:uid="{00000000-0004-0000-0000-00003C000000}"/>
    <hyperlink ref="B60" r:id="rId62" display="Pembuatan &amp; Pengontrolan Inspection Standard (IS)" xr:uid="{00000000-0004-0000-0000-00003D000000}"/>
    <hyperlink ref="B68" r:id="rId63" xr:uid="{00000000-0004-0000-0000-00003E000000}"/>
    <hyperlink ref="B73" r:id="rId64" xr:uid="{00000000-0004-0000-0000-00003F000000}"/>
    <hyperlink ref="B74" r:id="rId65" xr:uid="{00000000-0004-0000-0000-000040000000}"/>
    <hyperlink ref="B75" r:id="rId66" xr:uid="{00000000-0004-0000-0000-000041000000}"/>
    <hyperlink ref="B72" r:id="rId67" xr:uid="{00000000-0004-0000-0000-000042000000}"/>
    <hyperlink ref="B64" r:id="rId68" xr:uid="{00000000-0004-0000-0000-000043000000}"/>
    <hyperlink ref="B69" r:id="rId69" xr:uid="{00000000-0004-0000-0000-000044000000}"/>
    <hyperlink ref="B65" r:id="rId70" xr:uid="{00000000-0004-0000-0000-000045000000}"/>
    <hyperlink ref="B66" r:id="rId71" xr:uid="{00000000-0004-0000-0000-000046000000}"/>
    <hyperlink ref="B70" r:id="rId72" xr:uid="{00000000-0004-0000-0000-000047000000}"/>
    <hyperlink ref="B67" r:id="rId73" xr:uid="{00000000-0004-0000-0000-000048000000}"/>
    <hyperlink ref="B71" r:id="rId74" xr:uid="{00000000-0004-0000-0000-000049000000}"/>
    <hyperlink ref="B76" r:id="rId75" xr:uid="{00000000-0004-0000-0000-00004A000000}"/>
    <hyperlink ref="B85" r:id="rId76" display="1.14 Mekanisme Penentuan Point Inspeksi" xr:uid="{00000000-0004-0000-0000-00004B000000}"/>
    <hyperlink ref="B83" r:id="rId77" xr:uid="{00000000-0004-0000-0000-00004C000000}"/>
    <hyperlink ref="B80" r:id="rId78" display="Verifikasi proses crimping " xr:uid="{00000000-0004-0000-0000-00004D000000}"/>
    <hyperlink ref="B84" r:id="rId79" xr:uid="{00000000-0004-0000-0000-00004E000000}"/>
    <hyperlink ref="B78" r:id="rId80" xr:uid="{00000000-0004-0000-0000-00004F000000}"/>
    <hyperlink ref="B82" r:id="rId81" xr:uid="{00000000-0004-0000-0000-000050000000}"/>
    <hyperlink ref="B81" r:id="rId82" xr:uid="{00000000-0004-0000-0000-000051000000}"/>
    <hyperlink ref="B77" r:id="rId83" xr:uid="{00000000-0004-0000-0000-000052000000}"/>
    <hyperlink ref="B79" r:id="rId84" xr:uid="{00000000-0004-0000-0000-000053000000}"/>
    <hyperlink ref="B87" r:id="rId85" xr:uid="{00000000-0004-0000-0000-000054000000}"/>
    <hyperlink ref="B86" r:id="rId86" xr:uid="{00000000-0004-0000-0000-000055000000}"/>
    <hyperlink ref="B88" r:id="rId87" xr:uid="{00000000-0004-0000-0000-000056000000}"/>
    <hyperlink ref="B94" r:id="rId88" xr:uid="{00000000-0004-0000-0000-000057000000}"/>
    <hyperlink ref="B90" r:id="rId89" xr:uid="{00000000-0004-0000-0000-000058000000}"/>
    <hyperlink ref="B92" r:id="rId90" xr:uid="{00000000-0004-0000-0000-000059000000}"/>
    <hyperlink ref="B89" r:id="rId91" xr:uid="{00000000-0004-0000-0000-00005A000000}"/>
    <hyperlink ref="B97" r:id="rId92" display="Request Air Freight finish goods " xr:uid="{00000000-0004-0000-0000-00005B000000}"/>
    <hyperlink ref="B91" r:id="rId93" xr:uid="{00000000-0004-0000-0000-00005C000000}"/>
    <hyperlink ref="B93" r:id="rId94" xr:uid="{00000000-0004-0000-0000-00005D000000}"/>
    <hyperlink ref="B95" r:id="rId95" xr:uid="{00000000-0004-0000-0000-00005E000000}"/>
    <hyperlink ref="B96" r:id="rId96" xr:uid="{00000000-0004-0000-0000-00005F000000}"/>
    <hyperlink ref="B100" r:id="rId97" xr:uid="{00000000-0004-0000-0000-000060000000}"/>
    <hyperlink ref="B98" r:id="rId98" xr:uid="{00000000-0004-0000-0000-000061000000}"/>
    <hyperlink ref="B99" r:id="rId99" xr:uid="{00000000-0004-0000-0000-000062000000}"/>
    <hyperlink ref="B102" r:id="rId100" xr:uid="{00000000-0004-0000-0000-000063000000}"/>
    <hyperlink ref="B101" r:id="rId101" xr:uid="{00000000-0004-0000-0000-000064000000}"/>
    <hyperlink ref="B107" r:id="rId102" xr:uid="{00000000-0004-0000-0000-000065000000}"/>
    <hyperlink ref="B109" r:id="rId103" xr:uid="{00000000-0004-0000-0000-000066000000}"/>
    <hyperlink ref="B103" r:id="rId104" xr:uid="{00000000-0004-0000-0000-000067000000}"/>
    <hyperlink ref="B105" r:id="rId105" xr:uid="{00000000-0004-0000-0000-000068000000}"/>
    <hyperlink ref="B108" r:id="rId106" xr:uid="{00000000-0004-0000-0000-000069000000}"/>
    <hyperlink ref="B104" r:id="rId107" xr:uid="{00000000-0004-0000-0000-00006A000000}"/>
    <hyperlink ref="B106" r:id="rId108" xr:uid="{00000000-0004-0000-0000-00006B000000}"/>
    <hyperlink ref="B113" r:id="rId109" xr:uid="{00000000-0004-0000-0000-00006C000000}"/>
    <hyperlink ref="B110" r:id="rId110" xr:uid="{00000000-0004-0000-0000-00006D000000}"/>
    <hyperlink ref="B111" r:id="rId111" xr:uid="{00000000-0004-0000-0000-00006E000000}"/>
    <hyperlink ref="B114" r:id="rId112" xr:uid="{00000000-0004-0000-0000-00006F000000}"/>
    <hyperlink ref="B112" r:id="rId113" xr:uid="{00000000-0004-0000-0000-000070000000}"/>
    <hyperlink ref="B116" r:id="rId114" xr:uid="{00000000-0004-0000-0000-000071000000}"/>
    <hyperlink ref="B115" r:id="rId115" xr:uid="{00000000-0004-0000-0000-000072000000}"/>
    <hyperlink ref="B118" r:id="rId116" xr:uid="{00000000-0004-0000-0000-000073000000}"/>
    <hyperlink ref="B119" r:id="rId117" xr:uid="{00000000-0004-0000-0000-000074000000}"/>
    <hyperlink ref="B117" r:id="rId118" xr:uid="{00000000-0004-0000-0000-000075000000}"/>
    <hyperlink ref="B120" r:id="rId119" xr:uid="{00000000-0004-0000-0000-000076000000}"/>
    <hyperlink ref="B123" r:id="rId120" xr:uid="{00000000-0004-0000-0000-000077000000}"/>
    <hyperlink ref="B122" r:id="rId121" xr:uid="{00000000-0004-0000-0000-000078000000}"/>
    <hyperlink ref="B121" r:id="rId122" display="Pengisian CS LHPK Pemeriksaan Ulang Part / Material" xr:uid="{00000000-0004-0000-0000-000079000000}"/>
    <hyperlink ref="B125" r:id="rId123" xr:uid="{00000000-0004-0000-0000-00007A000000}"/>
    <hyperlink ref="B124" r:id="rId124" xr:uid="{00000000-0004-0000-0000-00007B000000}"/>
    <hyperlink ref="B130" r:id="rId125" xr:uid="{00000000-0004-0000-0000-00007C000000}"/>
    <hyperlink ref="B129" r:id="rId126" xr:uid="{00000000-0004-0000-0000-00007D000000}"/>
    <hyperlink ref="B131" r:id="rId127" xr:uid="{00000000-0004-0000-0000-00007E000000}"/>
    <hyperlink ref="B127" r:id="rId128" xr:uid="{00000000-0004-0000-0000-00007F000000}"/>
    <hyperlink ref="B128" r:id="rId129" xr:uid="{00000000-0004-0000-0000-000080000000}"/>
    <hyperlink ref="B126" r:id="rId130" xr:uid="{00000000-0004-0000-0000-000081000000}"/>
    <hyperlink ref="B132" r:id="rId131" xr:uid="{00000000-0004-0000-0000-000082000000}"/>
    <hyperlink ref="B133" r:id="rId132" xr:uid="{00000000-0004-0000-0000-000083000000}"/>
    <hyperlink ref="B157" r:id="rId133" display="1.16 Pengisian CS LK Operator Cutting Doren Shield Wire" xr:uid="{00000000-0004-0000-0000-000084000000}"/>
    <hyperlink ref="B140" r:id="rId134" xr:uid="{00000000-0004-0000-0000-000085000000}"/>
    <hyperlink ref="B145" r:id="rId135" xr:uid="{00000000-0004-0000-0000-000086000000}"/>
    <hyperlink ref="B148" r:id="rId136" xr:uid="{00000000-0004-0000-0000-000087000000}"/>
    <hyperlink ref="B149" r:id="rId137" xr:uid="{00000000-0004-0000-0000-000088000000}"/>
    <hyperlink ref="B150" r:id="rId138" xr:uid="{00000000-0004-0000-0000-000089000000}"/>
    <hyperlink ref="B151" r:id="rId139" xr:uid="{00000000-0004-0000-0000-00008A000000}"/>
    <hyperlink ref="B153" r:id="rId140" xr:uid="{00000000-0004-0000-0000-00008B000000}"/>
    <hyperlink ref="B154" r:id="rId141" display="Pengisian CS L/K Operator &amp; Inspektor Joint Welding / Bonder" xr:uid="{00000000-0004-0000-0000-00008C000000}"/>
    <hyperlink ref="B143" r:id="rId142" xr:uid="{00000000-0004-0000-0000-00008D000000}"/>
    <hyperlink ref="B158" r:id="rId143" display="Voltage test dan pengecheckan scratch core" xr:uid="{00000000-0004-0000-0000-00008E000000}"/>
    <hyperlink ref="B134" r:id="rId144" xr:uid="{00000000-0004-0000-0000-00008F000000}"/>
    <hyperlink ref="B147" r:id="rId145" display="Pengisian CS LK Operator dan Inspektor Man. Crimping" xr:uid="{00000000-0004-0000-0000-000090000000}"/>
    <hyperlink ref="B146" r:id="rId146" display="Pengisian CS LK Operator dan Inspektor Cutting" xr:uid="{00000000-0004-0000-0000-000091000000}"/>
    <hyperlink ref="B141" r:id="rId147" xr:uid="{00000000-0004-0000-0000-000092000000}"/>
    <hyperlink ref="B144" r:id="rId148" xr:uid="{00000000-0004-0000-0000-000093000000}"/>
    <hyperlink ref="B142" r:id="rId149" xr:uid="{00000000-0004-0000-0000-000094000000}"/>
    <hyperlink ref="B136" r:id="rId150" xr:uid="{00000000-0004-0000-0000-000095000000}"/>
    <hyperlink ref="B152" r:id="rId151" xr:uid="{00000000-0004-0000-0000-000096000000}"/>
    <hyperlink ref="B155" r:id="rId152" xr:uid="{00000000-0004-0000-0000-000097000000}"/>
    <hyperlink ref="B156" r:id="rId153" xr:uid="{00000000-0004-0000-0000-000098000000}"/>
    <hyperlink ref="B135" r:id="rId154" xr:uid="{00000000-0004-0000-0000-000099000000}"/>
    <hyperlink ref="B137" r:id="rId155" xr:uid="{00000000-0004-0000-0000-00009A000000}"/>
    <hyperlink ref="B138" r:id="rId156" xr:uid="{00000000-0004-0000-0000-00009B000000}"/>
    <hyperlink ref="B139" r:id="rId157" xr:uid="{00000000-0004-0000-0000-00009C000000}"/>
    <hyperlink ref="B159" r:id="rId158" display="Pengisian CS L/K Operator &amp; Inspektor Manual Crimping Air Bag" xr:uid="{00000000-0004-0000-0000-00009D000000}"/>
    <hyperlink ref="B163" r:id="rId159" display="1.24 Rule 4M transition Pre Assy" xr:uid="{00000000-0004-0000-0000-00009E000000}"/>
    <hyperlink ref="B161" r:id="rId160" display="Pengisian Checksheet Quality Tube" xr:uid="{00000000-0004-0000-0000-00009F000000}"/>
    <hyperlink ref="B162" r:id="rId161" xr:uid="{00000000-0004-0000-0000-0000A0000000}"/>
    <hyperlink ref="B160" r:id="rId162" xr:uid="{00000000-0004-0000-0000-0000A1000000}"/>
    <hyperlink ref="B169" r:id="rId163" xr:uid="{00000000-0004-0000-0000-0000A2000000}"/>
    <hyperlink ref="B164" r:id="rId164" xr:uid="{00000000-0004-0000-0000-0000A3000000}"/>
    <hyperlink ref="B166" r:id="rId165" xr:uid="{00000000-0004-0000-0000-0000A4000000}"/>
    <hyperlink ref="B167" r:id="rId166" xr:uid="{00000000-0004-0000-0000-0000A5000000}"/>
    <hyperlink ref="B165" r:id="rId167" display="Pengisian C/S LKO Operator End Stripping, End Stripping SD Terminal dan Shield Wire ( ESS )" xr:uid="{00000000-0004-0000-0000-0000A6000000}"/>
    <hyperlink ref="B172" r:id="rId168" xr:uid="{00000000-0004-0000-0000-0000A7000000}"/>
    <hyperlink ref="B174" r:id="rId169" xr:uid="{00000000-0004-0000-0000-0000A8000000}"/>
    <hyperlink ref="B171" r:id="rId170" xr:uid="{00000000-0004-0000-0000-0000A9000000}"/>
    <hyperlink ref="B168" r:id="rId171" xr:uid="{00000000-0004-0000-0000-0000AA000000}"/>
    <hyperlink ref="B170" r:id="rId172" xr:uid="{00000000-0004-0000-0000-0000AB000000}"/>
    <hyperlink ref="B173" r:id="rId173" xr:uid="{00000000-0004-0000-0000-0000AC000000}"/>
    <hyperlink ref="B178" r:id="rId174" display="1.8   Pengisian CS Pengisian Material Mesin Water Proof Injection" xr:uid="{00000000-0004-0000-0000-0000AD000000}"/>
    <hyperlink ref="B176" r:id="rId175" xr:uid="{00000000-0004-0000-0000-0000AE000000}"/>
    <hyperlink ref="B177" r:id="rId176" xr:uid="{00000000-0004-0000-0000-0000AF000000}"/>
    <hyperlink ref="B175" r:id="rId177" xr:uid="{00000000-0004-0000-0000-0000B0000000}"/>
    <hyperlink ref="B182" r:id="rId178" xr:uid="{00000000-0004-0000-0000-0000B1000000}"/>
    <hyperlink ref="B179" r:id="rId179" xr:uid="{00000000-0004-0000-0000-0000B2000000}"/>
    <hyperlink ref="B181" r:id="rId180" xr:uid="{00000000-0004-0000-0000-0000B3000000}"/>
    <hyperlink ref="B180" r:id="rId181" xr:uid="{00000000-0004-0000-0000-0000B4000000}"/>
    <hyperlink ref="B184" r:id="rId182" xr:uid="{00000000-0004-0000-0000-0000B5000000}"/>
    <hyperlink ref="B183" r:id="rId183" xr:uid="{00000000-0004-0000-0000-0000B6000000}"/>
    <hyperlink ref="B186" r:id="rId184" xr:uid="{00000000-0004-0000-0000-0000B7000000}"/>
    <hyperlink ref="B185" r:id="rId185" xr:uid="{00000000-0004-0000-0000-0000B8000000}"/>
    <hyperlink ref="B187" r:id="rId186" display="Control of nonconforming product" xr:uid="{00000000-0004-0000-0000-0000B9000000}"/>
    <hyperlink ref="B192" r:id="rId187" xr:uid="{00000000-0004-0000-0000-0000BA000000}"/>
    <hyperlink ref="B188" r:id="rId188" display="Pembuatan dan Pengisian Quality alert" xr:uid="{00000000-0004-0000-0000-0000BB000000}"/>
    <hyperlink ref="B191" r:id="rId189" xr:uid="{00000000-0004-0000-0000-0000BC000000}"/>
    <hyperlink ref="B190" r:id="rId190" xr:uid="{00000000-0004-0000-0000-0000BD000000}"/>
    <hyperlink ref="B189" r:id="rId191" display="Cara Pengisian Form Defective Tag" xr:uid="{00000000-0004-0000-0000-0000BE000000}"/>
    <hyperlink ref="B194" r:id="rId192" xr:uid="{00000000-0004-0000-0000-0000BF000000}"/>
    <hyperlink ref="B198" r:id="rId193" xr:uid="{00000000-0004-0000-0000-0000C0000000}"/>
    <hyperlink ref="B199" r:id="rId194" xr:uid="{00000000-0004-0000-0000-0000C1000000}"/>
    <hyperlink ref="B201" r:id="rId195" display="Finished goods storage &amp; delivery" xr:uid="{00000000-0004-0000-0000-0000C2000000}"/>
    <hyperlink ref="B202" r:id="rId196" xr:uid="{00000000-0004-0000-0000-0000C3000000}"/>
    <hyperlink ref="B196" r:id="rId197" display="Quality Notification Report" xr:uid="{00000000-0004-0000-0000-0000C4000000}"/>
    <hyperlink ref="B200" r:id="rId198" xr:uid="{00000000-0004-0000-0000-0000C5000000}"/>
    <hyperlink ref="B195" r:id="rId199" xr:uid="{00000000-0004-0000-0000-0000C6000000}"/>
    <hyperlink ref="B193" r:id="rId200" xr:uid="{00000000-0004-0000-0000-0000C7000000}"/>
    <hyperlink ref="B203" r:id="rId201" xr:uid="{00000000-0004-0000-0000-0000C8000000}"/>
    <hyperlink ref="B197" r:id="rId202" xr:uid="{00000000-0004-0000-0000-0000C9000000}"/>
    <hyperlink ref="B208" r:id="rId203" display="Perhitungan dan order kebutuhan mesin produksi" xr:uid="{00000000-0004-0000-0000-0000CA000000}"/>
    <hyperlink ref="B204" r:id="rId204" xr:uid="{00000000-0004-0000-0000-0000CB000000}"/>
    <hyperlink ref="B205" r:id="rId205" xr:uid="{00000000-0004-0000-0000-0000CC000000}"/>
    <hyperlink ref="B206" r:id="rId206" xr:uid="{00000000-0004-0000-0000-0000CD000000}"/>
    <hyperlink ref="B209" r:id="rId207" xr:uid="{00000000-0004-0000-0000-0000CE000000}"/>
    <hyperlink ref="B207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display="Checker Progran Validation" xr:uid="{00000000-0004-0000-0000-0000D4000000}"/>
    <hyperlink ref="B215" r:id="rId214" xr:uid="{00000000-0004-0000-0000-0000D5000000}"/>
    <hyperlink ref="B218" r:id="rId215" xr:uid="{00000000-0004-0000-0000-0000D6000000}"/>
    <hyperlink ref="B216" r:id="rId216" xr:uid="{00000000-0004-0000-0000-0000D7000000}"/>
    <hyperlink ref="B223" r:id="rId217" xr:uid="{00000000-0004-0000-0000-0000D8000000}"/>
    <hyperlink ref="B227" r:id="rId218" xr:uid="{00000000-0004-0000-0000-0000D9000000}"/>
    <hyperlink ref="B224" r:id="rId219" xr:uid="{00000000-0004-0000-0000-0000DA000000}"/>
    <hyperlink ref="B226" r:id="rId220" xr:uid="{00000000-0004-0000-0000-0000DB000000}"/>
    <hyperlink ref="B222" r:id="rId221" xr:uid="{00000000-0004-0000-0000-0000DC000000}"/>
    <hyperlink ref="B225" r:id="rId222" xr:uid="{00000000-0004-0000-0000-0000DD000000}"/>
    <hyperlink ref="B220" r:id="rId223" xr:uid="{00000000-0004-0000-0000-0000DE000000}"/>
    <hyperlink ref="B221" r:id="rId224" xr:uid="{00000000-0004-0000-0000-0000DF000000}"/>
    <hyperlink ref="B217" r:id="rId225" xr:uid="{00000000-0004-0000-0000-0000E0000000}"/>
    <hyperlink ref="B219" r:id="rId226" xr:uid="{00000000-0004-0000-0000-0000E1000000}"/>
    <hyperlink ref="B230" r:id="rId227" xr:uid="{00000000-0004-0000-0000-0000E2000000}"/>
    <hyperlink ref="B228" r:id="rId228" xr:uid="{00000000-0004-0000-0000-0000E3000000}"/>
    <hyperlink ref="B229" r:id="rId229" xr:uid="{00000000-0004-0000-0000-0000E4000000}"/>
    <hyperlink ref="B231" r:id="rId230" xr:uid="{00000000-0004-0000-0000-0000E5000000}"/>
    <hyperlink ref="B232" r:id="rId231" xr:uid="{00000000-0004-0000-0000-0000E6000000}"/>
    <hyperlink ref="B238" r:id="rId232" xr:uid="{00000000-0004-0000-0000-0000E7000000}"/>
    <hyperlink ref="B242" r:id="rId233" display="Pelaksanaan  Evaluasi Preventive Maintenance Mesin produksi" xr:uid="{00000000-0004-0000-0000-0000E8000000}"/>
    <hyperlink ref="B233" r:id="rId234" display="Sistem Informasi perubahan posisi aplicator" xr:uid="{00000000-0004-0000-0000-0000E9000000}"/>
    <hyperlink ref="B241" r:id="rId235" display="Penanganan Kerusakan pada Mesin Produksi" xr:uid="{00000000-0004-0000-0000-0000EA000000}"/>
    <hyperlink ref="B234" r:id="rId236" xr:uid="{00000000-0004-0000-0000-0000EB000000}"/>
    <hyperlink ref="B236" r:id="rId237" xr:uid="{00000000-0004-0000-0000-0000EC000000}"/>
    <hyperlink ref="B237" r:id="rId238" xr:uid="{00000000-0004-0000-0000-0000ED000000}"/>
    <hyperlink ref="B235" r:id="rId239" xr:uid="{00000000-0004-0000-0000-0000EE000000}"/>
    <hyperlink ref="B239" r:id="rId240" xr:uid="{00000000-0004-0000-0000-0000EF000000}"/>
    <hyperlink ref="B243" r:id="rId241" xr:uid="{00000000-0004-0000-0000-0000F0000000}"/>
    <hyperlink ref="B240" r:id="rId242" xr:uid="{00000000-0004-0000-0000-0000F1000000}"/>
    <hyperlink ref="B252" r:id="rId243" xr:uid="{00000000-0004-0000-0000-0000F2000000}"/>
    <hyperlink ref="B246" r:id="rId244" xr:uid="{00000000-0004-0000-0000-0000F3000000}"/>
    <hyperlink ref="B244" r:id="rId245" xr:uid="{00000000-0004-0000-0000-0000F4000000}"/>
    <hyperlink ref="B245" r:id="rId246" xr:uid="{00000000-0004-0000-0000-0000F5000000}"/>
    <hyperlink ref="B251" r:id="rId247" xr:uid="{00000000-0004-0000-0000-0000F6000000}"/>
    <hyperlink ref="B247" r:id="rId248" xr:uid="{00000000-0004-0000-0000-0000F7000000}"/>
    <hyperlink ref="B250" r:id="rId249" xr:uid="{00000000-0004-0000-0000-0000F8000000}"/>
    <hyperlink ref="B249" r:id="rId250" xr:uid="{00000000-0004-0000-0000-0000F9000000}"/>
    <hyperlink ref="B248" r:id="rId251" xr:uid="{00000000-0004-0000-0000-0000FA000000}"/>
    <hyperlink ref="B253" r:id="rId252" xr:uid="{00000000-0004-0000-0000-0000FB000000}"/>
    <hyperlink ref="G179" r:id="rId253" display="david.a@jai.co.id" xr:uid="{00000000-0004-0000-0000-0000FC000000}"/>
    <hyperlink ref="G252" r:id="rId254" display="david.a@jai.co.id" xr:uid="{00000000-0004-0000-0000-0000FD000000}"/>
    <hyperlink ref="H72" r:id="rId255" xr:uid="{00000000-0004-0000-0000-0000FE000000}"/>
    <hyperlink ref="H89:H93" r:id="rId256" display="evaningsih@jai.co.id" xr:uid="{00000000-0004-0000-0000-0000FF000000}"/>
    <hyperlink ref="H96:H98" r:id="rId257" display="evaningsih@jai.co.id" xr:uid="{00000000-0004-0000-0000-000000010000}"/>
    <hyperlink ref="H100" r:id="rId258" xr:uid="{00000000-0004-0000-0000-000001010000}"/>
    <hyperlink ref="H204:H206" r:id="rId259" display="evaningsih@jai.co.id" xr:uid="{00000000-0004-0000-0000-000002010000}"/>
    <hyperlink ref="I72" r:id="rId260" xr:uid="{00000000-0004-0000-0000-000003010000}"/>
    <hyperlink ref="I89:I93" r:id="rId261" display="dedi.k@jai.co.id" xr:uid="{00000000-0004-0000-0000-000004010000}"/>
    <hyperlink ref="I96:I98" r:id="rId262" display="dedi.k@jai.co.id" xr:uid="{00000000-0004-0000-0000-000005010000}"/>
    <hyperlink ref="I100" r:id="rId263" xr:uid="{00000000-0004-0000-0000-000006010000}"/>
    <hyperlink ref="I204:I206" r:id="rId264" display="dedi.k@jai.co.id" xr:uid="{00000000-0004-0000-0000-000007010000}"/>
    <hyperlink ref="G72" r:id="rId265" display="ira.a@jai.co.id" xr:uid="{00000000-0004-0000-0000-000008010000}"/>
    <hyperlink ref="G89:G93" r:id="rId266" display="ira.a@jai.co.id" xr:uid="{00000000-0004-0000-0000-000009010000}"/>
    <hyperlink ref="G96:G98" r:id="rId267" display="ira.a@jai.co.id" xr:uid="{00000000-0004-0000-0000-00000A010000}"/>
    <hyperlink ref="G100" r:id="rId268" display="ira.a@jai.co.id" xr:uid="{00000000-0004-0000-0000-00000B010000}"/>
    <hyperlink ref="G204:G206" r:id="rId269" display="ira.a@jai.co.id" xr:uid="{00000000-0004-0000-0000-00000C010000}"/>
    <hyperlink ref="H7" r:id="rId270" xr:uid="{00000000-0004-0000-0000-00000D010000}"/>
    <hyperlink ref="H134" r:id="rId271" xr:uid="{00000000-0004-0000-0000-00000E010000}"/>
    <hyperlink ref="H145" r:id="rId272" xr:uid="{00000000-0004-0000-0000-00000F010000}"/>
    <hyperlink ref="H147:H152" r:id="rId273" display="endang.s@jai.co.id" xr:uid="{00000000-0004-0000-0000-000010010000}"/>
    <hyperlink ref="H156:H157" r:id="rId274" display="endang.s@jai.co.id" xr:uid="{00000000-0004-0000-0000-000011010000}"/>
    <hyperlink ref="H160:H162" r:id="rId275" display="endang.s@jai.co.id" xr:uid="{00000000-0004-0000-0000-000012010000}"/>
    <hyperlink ref="H164:H165" r:id="rId276" display="endang.s@jai.co.id" xr:uid="{00000000-0004-0000-0000-000013010000}"/>
    <hyperlink ref="H168" r:id="rId277" xr:uid="{00000000-0004-0000-0000-000014010000}"/>
    <hyperlink ref="H170:H172" r:id="rId278" display="endang.s@jai.co.id" xr:uid="{00000000-0004-0000-0000-000015010000}"/>
    <hyperlink ref="H175" r:id="rId279" xr:uid="{00000000-0004-0000-0000-000016010000}"/>
    <hyperlink ref="H177:H178" r:id="rId280" display="endang.s@jai.co.id" xr:uid="{00000000-0004-0000-0000-000017010000}"/>
    <hyperlink ref="H180:H183" r:id="rId281" display="endang.s@jai.co.id" xr:uid="{00000000-0004-0000-0000-000018010000}"/>
    <hyperlink ref="H185:H186" r:id="rId282" display="endang.s@jai.co.id" xr:uid="{00000000-0004-0000-0000-000019010000}"/>
    <hyperlink ref="H212" r:id="rId283" xr:uid="{00000000-0004-0000-0000-00001A010000}"/>
    <hyperlink ref="G175" r:id="rId284" display="binti.s@jai.co.id" xr:uid="{00000000-0004-0000-0000-00001B010000}"/>
    <hyperlink ref="G177:G178" r:id="rId285" display="binti.s@jai.co.id" xr:uid="{00000000-0004-0000-0000-00001C010000}"/>
    <hyperlink ref="G180:G183" r:id="rId286" display="binti.s@jai.co.id" xr:uid="{00000000-0004-0000-0000-00001D010000}"/>
    <hyperlink ref="G185:G186" r:id="rId287" display="binti.s@jai.co.id" xr:uid="{00000000-0004-0000-0000-00001E010000}"/>
    <hyperlink ref="G212" r:id="rId288" display="binti.s@jai.co.id" xr:uid="{00000000-0004-0000-0000-00001F010000}"/>
    <hyperlink ref="G7" r:id="rId289" display="binti.s@jai.co.id" xr:uid="{00000000-0004-0000-0000-000020010000}"/>
    <hyperlink ref="G134" r:id="rId290" display="binti.s@jai.co.id" xr:uid="{00000000-0004-0000-0000-000021010000}"/>
    <hyperlink ref="G117" r:id="rId291" display="ferry.i@jai.co.id,_x000a_" xr:uid="{00000000-0004-0000-0000-000022010000}"/>
    <hyperlink ref="G123" r:id="rId292" display="ferry.i@jai.co.id,_x000a_" xr:uid="{00000000-0004-0000-0000-000023010000}"/>
    <hyperlink ref="G128" r:id="rId293" display="ferry.i@jai.co.id,_x000a_" xr:uid="{00000000-0004-0000-0000-000024010000}"/>
    <hyperlink ref="G131:G132" r:id="rId294" display="ferry.i@jai.co.id,_x000a_" xr:uid="{00000000-0004-0000-0000-000025010000}"/>
    <hyperlink ref="G135" r:id="rId295" display="ferry.i@jai.co.id,_x000a_" xr:uid="{00000000-0004-0000-0000-000026010000}"/>
    <hyperlink ref="G139" r:id="rId296" display="ferry.i@jai.co.id,_x000a_" xr:uid="{00000000-0004-0000-0000-000027010000}"/>
    <hyperlink ref="G229" r:id="rId297" xr:uid="{00000000-0004-0000-0000-000028010000}"/>
    <hyperlink ref="G227" r:id="rId298" display="tatag.k@jai.co.id,david.a@jai.co.id" xr:uid="{00000000-0004-0000-0000-000029010000}"/>
    <hyperlink ref="G243" r:id="rId299" display="tatag.k@jai.co.id,david.a@jai.co.id" xr:uid="{00000000-0004-0000-0000-00002A010000}"/>
    <hyperlink ref="G237" r:id="rId300" display="andik.e@jai.co.id" xr:uid="{00000000-0004-0000-0000-00002B010000}"/>
    <hyperlink ref="G9" r:id="rId301" display="andik.e@jai.co.id" xr:uid="{00000000-0004-0000-0000-00002C010000}"/>
    <hyperlink ref="G14" r:id="rId302" display="andik.e@jai.co.id" xr:uid="{00000000-0004-0000-0000-00002D010000}"/>
    <hyperlink ref="G16" r:id="rId303" display="andik.e@jai.co.id" xr:uid="{00000000-0004-0000-0000-00002E010000}"/>
    <hyperlink ref="G19" r:id="rId304" display="andik.e@jai.co.id" xr:uid="{00000000-0004-0000-0000-00002F010000}"/>
    <hyperlink ref="G21" r:id="rId305" display="andik.e@jai.co.id" xr:uid="{00000000-0004-0000-0000-000030010000}"/>
    <hyperlink ref="G35" r:id="rId306" display="andik.e@jai.co.id" xr:uid="{00000000-0004-0000-0000-000031010000}"/>
    <hyperlink ref="G37" r:id="rId307" display="andik.e@jai.co.id" xr:uid="{00000000-0004-0000-0000-000032010000}"/>
    <hyperlink ref="G61:G62" r:id="rId308" display="andik.e@jai.co.id" xr:uid="{00000000-0004-0000-0000-000033010000}"/>
    <hyperlink ref="G64" r:id="rId309" display="andik.e@jai.co.id" xr:uid="{00000000-0004-0000-0000-000034010000}"/>
    <hyperlink ref="G67:G68" r:id="rId310" display="andik.e@jai.co.id" xr:uid="{00000000-0004-0000-0000-000035010000}"/>
    <hyperlink ref="G85:G86" r:id="rId311" display="andik.e@jai.co.id" xr:uid="{00000000-0004-0000-0000-000036010000}"/>
    <hyperlink ref="G141" r:id="rId312" display="andik.e@jai.co.id" xr:uid="{00000000-0004-0000-0000-000037010000}"/>
    <hyperlink ref="G143:G144" r:id="rId313" display="andik.e@jai.co.id" xr:uid="{00000000-0004-0000-0000-000038010000}"/>
    <hyperlink ref="G159" r:id="rId314" display="andik.e@jai.co.id" xr:uid="{00000000-0004-0000-0000-000039010000}"/>
    <hyperlink ref="G166" r:id="rId315" display="andik.e@jai.co.id" xr:uid="{00000000-0004-0000-0000-00003A010000}"/>
    <hyperlink ref="G169" r:id="rId316" display="andik.e@jai.co.id" xr:uid="{00000000-0004-0000-0000-00003B010000}"/>
    <hyperlink ref="G176" r:id="rId317" display="andik.e@jai.co.id" xr:uid="{00000000-0004-0000-0000-00003C010000}"/>
    <hyperlink ref="G187:G188" r:id="rId318" display="andik.e@jai.co.id" xr:uid="{00000000-0004-0000-0000-00003D010000}"/>
    <hyperlink ref="G190:G193" r:id="rId319" display="andik.e@jai.co.id" xr:uid="{00000000-0004-0000-0000-00003E010000}"/>
    <hyperlink ref="G195:G196" r:id="rId320" display="andik.e@jai.co.id" xr:uid="{00000000-0004-0000-0000-00003F010000}"/>
    <hyperlink ref="G216:G217" r:id="rId321" display="andik.e@jai.co.id" xr:uid="{00000000-0004-0000-0000-000040010000}"/>
    <hyperlink ref="G235:G236" r:id="rId322" display="andik.e@jai.co.id" xr:uid="{00000000-0004-0000-0000-000041010000}"/>
    <hyperlink ref="G234" r:id="rId323" xr:uid="{00000000-0004-0000-0000-000042010000}"/>
    <hyperlink ref="G215" r:id="rId324" display="yachrul.h@jai.co.id,_x000a_" xr:uid="{00000000-0004-0000-0000-000043010000}"/>
    <hyperlink ref="G244" r:id="rId325" display="yachrul.h@jai.co.id,_x000a_" xr:uid="{00000000-0004-0000-0000-000044010000}"/>
    <hyperlink ref="G247" r:id="rId326" display="yachrul.h@jai.co.id,_x000a_" xr:uid="{00000000-0004-0000-0000-000045010000}"/>
    <hyperlink ref="J140" r:id="rId327" display="andik.e@jai.co.id" xr:uid="{00000000-0004-0000-0000-000046010000}"/>
    <hyperlink ref="J142" r:id="rId328" display="andik.e@jai.co.id" xr:uid="{00000000-0004-0000-0000-000047010000}"/>
    <hyperlink ref="J146" r:id="rId329" display="andik.e@jai.co.id" xr:uid="{00000000-0004-0000-0000-000048010000}"/>
    <hyperlink ref="J153" r:id="rId330" display="andik.e@jai.co.id" xr:uid="{00000000-0004-0000-0000-000049010000}"/>
    <hyperlink ref="J154" r:id="rId331" display="andik.e@jai.co.id" xr:uid="{00000000-0004-0000-0000-00004A010000}"/>
    <hyperlink ref="J155" r:id="rId332" display="andik.e@jai.co.id" xr:uid="{00000000-0004-0000-0000-00004B010000}"/>
    <hyperlink ref="J163" r:id="rId333" display="andik.e@jai.co.id" xr:uid="{00000000-0004-0000-0000-00004C010000}"/>
    <hyperlink ref="J167" r:id="rId334" display="andik.e@jai.co.id" xr:uid="{00000000-0004-0000-0000-00004D010000}"/>
    <hyperlink ref="J173" r:id="rId335" display="andik.e@jai.co.id" xr:uid="{00000000-0004-0000-0000-00004E010000}"/>
    <hyperlink ref="J174" r:id="rId336" display="andik.e@jai.co.id" xr:uid="{00000000-0004-0000-0000-00004F010000}"/>
    <hyperlink ref="J184" r:id="rId337" display="andik.e@jai.co.id" xr:uid="{00000000-0004-0000-0000-000050010000}"/>
    <hyperlink ref="J189" r:id="rId338" display="andik.e@jai.co.id" xr:uid="{00000000-0004-0000-0000-000051010000}"/>
    <hyperlink ref="J194" r:id="rId339" display="andik.e@jai.co.id" xr:uid="{00000000-0004-0000-0000-000052010000}"/>
    <hyperlink ref="H173" r:id="rId340" xr:uid="{00000000-0004-0000-0000-000053010000}"/>
    <hyperlink ref="H174" r:id="rId341" xr:uid="{00000000-0004-0000-0000-000054010000}"/>
    <hyperlink ref="G173" r:id="rId342" display="binti.s@jai.co.id" xr:uid="{00000000-0004-0000-0000-000055010000}"/>
    <hyperlink ref="G174" r:id="rId343" display="binti.s@jai.co.id" xr:uid="{00000000-0004-0000-0000-000056010000}"/>
    <hyperlink ref="H184" r:id="rId344" xr:uid="{00000000-0004-0000-0000-000057010000}"/>
    <hyperlink ref="G184" r:id="rId345" display="binti.s@jai.co.id" xr:uid="{00000000-0004-0000-0000-000058010000}"/>
    <hyperlink ref="H189" r:id="rId346" xr:uid="{00000000-0004-0000-0000-000059010000}"/>
    <hyperlink ref="G189" r:id="rId347" display="binti.s@jai.co.id" xr:uid="{00000000-0004-0000-0000-00005A010000}"/>
    <hyperlink ref="H194" r:id="rId348" xr:uid="{00000000-0004-0000-0000-00005B010000}"/>
    <hyperlink ref="G194" r:id="rId349" display="binti.s@jai.co.id" xr:uid="{00000000-0004-0000-0000-00005C010000}"/>
    <hyperlink ref="J179" r:id="rId350" display="andik.e@jai.co.id" xr:uid="{00000000-0004-0000-0000-00005D010000}"/>
    <hyperlink ref="J252" r:id="rId351" display="andik.e@jai.co.id" xr:uid="{00000000-0004-0000-0000-00005E010000}"/>
  </hyperlinks>
  <pageMargins left="0" right="0" top="0.25" bottom="0" header="0.3" footer="0.3"/>
  <pageSetup paperSize="9" scale="44" orientation="portrait" horizontalDpi="4294967294" r:id="rId352"/>
  <drawing r:id="rId353"/>
  <legacyDrawing r:id="rId35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62"/>
  <sheetViews>
    <sheetView view="pageBreakPreview" zoomScale="90" zoomScaleNormal="85" zoomScaleSheetLayoutView="90" workbookViewId="0">
      <pane xSplit="5" ySplit="2" topLeftCell="O162" activePane="bottomRight" state="frozen"/>
      <selection pane="topRight" activeCell="E1" sqref="E1"/>
      <selection pane="bottomLeft" activeCell="A2" sqref="A2"/>
      <selection pane="bottomRight" activeCell="D168" sqref="D168"/>
    </sheetView>
  </sheetViews>
  <sheetFormatPr defaultRowHeight="14.5" x14ac:dyDescent="0.35"/>
  <cols>
    <col min="1" max="1" width="4" bestFit="1" customWidth="1"/>
    <col min="2" max="2" width="21.1796875" customWidth="1"/>
    <col min="3" max="3" width="54.453125" customWidth="1"/>
    <col min="4" max="4" width="15.1796875" customWidth="1"/>
    <col min="5" max="5" width="8.1796875" customWidth="1"/>
    <col min="6" max="6" width="13.26953125" customWidth="1"/>
    <col min="7" max="7" width="9" customWidth="1"/>
    <col min="8" max="8" width="14.7265625" customWidth="1"/>
    <col min="9" max="25" width="14.26953125" customWidth="1"/>
  </cols>
  <sheetData>
    <row r="1" spans="1:52" x14ac:dyDescent="0.35">
      <c r="H1" s="97">
        <v>1</v>
      </c>
      <c r="I1" s="97"/>
      <c r="J1" s="97"/>
      <c r="K1" s="97"/>
      <c r="L1" s="97"/>
      <c r="M1" s="97"/>
      <c r="N1" s="97"/>
      <c r="O1" s="97"/>
      <c r="P1" s="97"/>
      <c r="Q1" s="98">
        <v>2</v>
      </c>
      <c r="R1" s="99"/>
      <c r="S1" s="99"/>
      <c r="T1" s="99"/>
      <c r="U1" s="99"/>
      <c r="V1" s="99"/>
      <c r="W1" s="99"/>
      <c r="X1" s="99"/>
      <c r="Y1" s="99"/>
      <c r="Z1" s="100">
        <v>3</v>
      </c>
      <c r="AA1" s="100"/>
      <c r="AB1" s="100"/>
      <c r="AC1" s="100"/>
      <c r="AD1" s="100"/>
      <c r="AE1" s="100"/>
      <c r="AF1" s="100"/>
      <c r="AG1" s="43"/>
      <c r="AH1" s="43"/>
      <c r="AI1" s="101">
        <v>4</v>
      </c>
      <c r="AJ1" s="101"/>
      <c r="AK1" s="101"/>
      <c r="AL1" s="101"/>
      <c r="AM1" s="101"/>
      <c r="AN1" s="101"/>
      <c r="AO1" s="101"/>
      <c r="AP1" s="44"/>
      <c r="AQ1" s="44"/>
      <c r="AR1" s="102">
        <v>5</v>
      </c>
      <c r="AS1" s="102"/>
      <c r="AT1" s="102"/>
      <c r="AU1" s="102"/>
      <c r="AV1" s="102"/>
      <c r="AW1" s="102"/>
      <c r="AX1" s="102"/>
      <c r="AY1" s="102"/>
      <c r="AZ1" s="102"/>
    </row>
    <row r="2" spans="1:52" ht="24" customHeight="1" x14ac:dyDescent="0.35">
      <c r="A2" s="45" t="s">
        <v>0</v>
      </c>
      <c r="B2" s="45" t="s">
        <v>679</v>
      </c>
      <c r="C2" s="45" t="s">
        <v>1</v>
      </c>
      <c r="D2" s="45" t="s">
        <v>2</v>
      </c>
      <c r="E2" s="45" t="s">
        <v>3</v>
      </c>
      <c r="F2" s="45" t="s">
        <v>4</v>
      </c>
      <c r="G2" s="45" t="s">
        <v>5</v>
      </c>
      <c r="H2" s="46" t="s">
        <v>6</v>
      </c>
      <c r="I2" s="47" t="s">
        <v>680</v>
      </c>
      <c r="J2" s="46" t="s">
        <v>681</v>
      </c>
      <c r="K2" s="46" t="s">
        <v>7</v>
      </c>
      <c r="L2" s="47" t="s">
        <v>680</v>
      </c>
      <c r="M2" s="46" t="s">
        <v>681</v>
      </c>
      <c r="N2" s="46" t="s">
        <v>8</v>
      </c>
      <c r="O2" s="48" t="s">
        <v>680</v>
      </c>
      <c r="P2" s="45" t="s">
        <v>681</v>
      </c>
      <c r="Q2" s="46" t="s">
        <v>6</v>
      </c>
      <c r="R2" s="47" t="s">
        <v>680</v>
      </c>
      <c r="S2" s="46" t="s">
        <v>681</v>
      </c>
      <c r="T2" s="46" t="s">
        <v>7</v>
      </c>
      <c r="U2" s="47" t="s">
        <v>680</v>
      </c>
      <c r="V2" s="46" t="s">
        <v>681</v>
      </c>
      <c r="W2" s="46" t="s">
        <v>8</v>
      </c>
      <c r="X2" s="48" t="s">
        <v>680</v>
      </c>
      <c r="Y2" s="45" t="s">
        <v>681</v>
      </c>
      <c r="Z2" s="45" t="s">
        <v>6</v>
      </c>
      <c r="AA2" s="48" t="s">
        <v>680</v>
      </c>
      <c r="AB2" s="45" t="s">
        <v>681</v>
      </c>
      <c r="AC2" s="45" t="s">
        <v>7</v>
      </c>
      <c r="AD2" s="48" t="s">
        <v>680</v>
      </c>
      <c r="AE2" s="45" t="s">
        <v>681</v>
      </c>
      <c r="AF2" s="45" t="s">
        <v>8</v>
      </c>
      <c r="AG2" s="48" t="s">
        <v>680</v>
      </c>
      <c r="AH2" s="45" t="s">
        <v>681</v>
      </c>
      <c r="AI2" s="45" t="s">
        <v>6</v>
      </c>
      <c r="AJ2" s="48" t="s">
        <v>680</v>
      </c>
      <c r="AK2" s="45" t="s">
        <v>681</v>
      </c>
      <c r="AL2" s="45" t="s">
        <v>7</v>
      </c>
      <c r="AM2" s="48" t="s">
        <v>680</v>
      </c>
      <c r="AN2" s="45" t="s">
        <v>681</v>
      </c>
      <c r="AO2" s="45" t="s">
        <v>8</v>
      </c>
      <c r="AP2" s="48" t="s">
        <v>680</v>
      </c>
      <c r="AQ2" s="45" t="s">
        <v>681</v>
      </c>
      <c r="AR2" s="45" t="s">
        <v>6</v>
      </c>
      <c r="AS2" s="48" t="s">
        <v>680</v>
      </c>
      <c r="AT2" s="45" t="s">
        <v>681</v>
      </c>
      <c r="AU2" s="45" t="s">
        <v>7</v>
      </c>
      <c r="AV2" s="48" t="s">
        <v>680</v>
      </c>
      <c r="AW2" s="45" t="s">
        <v>681</v>
      </c>
      <c r="AX2" s="45" t="s">
        <v>8</v>
      </c>
      <c r="AY2" s="48" t="s">
        <v>680</v>
      </c>
      <c r="AZ2" s="45" t="s">
        <v>681</v>
      </c>
    </row>
    <row r="3" spans="1:52" ht="31" x14ac:dyDescent="0.35">
      <c r="A3" s="2">
        <v>1</v>
      </c>
      <c r="B3" s="103" t="s">
        <v>684</v>
      </c>
      <c r="C3" s="49" t="s">
        <v>9</v>
      </c>
      <c r="D3" s="4" t="s">
        <v>10</v>
      </c>
      <c r="E3" s="5">
        <v>15</v>
      </c>
      <c r="F3" s="6" t="s">
        <v>11</v>
      </c>
      <c r="G3" s="6" t="s">
        <v>12</v>
      </c>
      <c r="H3" s="7" t="s">
        <v>13</v>
      </c>
      <c r="I3" s="50" t="str">
        <f>VLOOKUP(H3,'[1]list PIC'!C:E,2,0)</f>
        <v>Ika Yuni SR</v>
      </c>
      <c r="J3" s="50" t="s">
        <v>682</v>
      </c>
      <c r="K3" s="50" t="s">
        <v>14</v>
      </c>
      <c r="L3" s="50" t="str">
        <f>VLOOKUP(K3,'[1]list PIC'!C:E,2,0)</f>
        <v>Teguh Sunjoyo</v>
      </c>
      <c r="M3" s="50" t="s">
        <v>683</v>
      </c>
      <c r="N3" s="50" t="s">
        <v>14</v>
      </c>
      <c r="O3" s="51" t="str">
        <f>VLOOKUP(N3,'[1]list PIC'!C:E,2,0)</f>
        <v>Teguh Sunjoyo</v>
      </c>
      <c r="P3" s="51" t="str">
        <f>VLOOKUP(N3,'[1]list PIC'!C:E,3,0)</f>
        <v>DFM</v>
      </c>
      <c r="Q3" s="52"/>
      <c r="R3" s="52"/>
      <c r="S3" s="52"/>
      <c r="T3" s="52"/>
      <c r="U3" s="52"/>
      <c r="V3" s="52"/>
      <c r="W3" s="52"/>
      <c r="X3" s="52"/>
      <c r="Y3" s="52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2" ht="31" x14ac:dyDescent="0.35">
      <c r="A4" s="9">
        <v>2</v>
      </c>
      <c r="B4" s="104"/>
      <c r="C4" s="33" t="s">
        <v>15</v>
      </c>
      <c r="D4" s="4" t="s">
        <v>16</v>
      </c>
      <c r="E4" s="5" t="s">
        <v>17</v>
      </c>
      <c r="F4" s="6" t="s">
        <v>11</v>
      </c>
      <c r="G4" s="6" t="s">
        <v>12</v>
      </c>
      <c r="H4" s="7" t="s">
        <v>13</v>
      </c>
      <c r="I4" s="50" t="str">
        <f>VLOOKUP(H4,'[1]list PIC'!C:E,2,0)</f>
        <v>Ika Yuni SR</v>
      </c>
      <c r="J4" s="50" t="s">
        <v>682</v>
      </c>
      <c r="K4" s="50" t="s">
        <v>14</v>
      </c>
      <c r="L4" s="50" t="str">
        <f>VLOOKUP(K4,'[1]list PIC'!C:E,2,0)</f>
        <v>Teguh Sunjoyo</v>
      </c>
      <c r="M4" s="50" t="s">
        <v>683</v>
      </c>
      <c r="N4" s="50" t="s">
        <v>14</v>
      </c>
      <c r="O4" s="51" t="str">
        <f>VLOOKUP(N4,'[1]list PIC'!C:E,2,0)</f>
        <v>Teguh Sunjoyo</v>
      </c>
      <c r="P4" s="51" t="str">
        <f>VLOOKUP(N4,'[1]list PIC'!C:E,3,0)</f>
        <v>DFM</v>
      </c>
      <c r="Q4" s="52"/>
      <c r="R4" s="52"/>
      <c r="S4" s="52"/>
      <c r="T4" s="52"/>
      <c r="U4" s="52"/>
      <c r="V4" s="52"/>
      <c r="W4" s="52"/>
      <c r="X4" s="52"/>
      <c r="Y4" s="52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2" ht="31" x14ac:dyDescent="0.35">
      <c r="A5" s="9">
        <v>3</v>
      </c>
      <c r="B5" s="105" t="s">
        <v>685</v>
      </c>
      <c r="C5" s="33" t="s">
        <v>18</v>
      </c>
      <c r="D5" s="4" t="s">
        <v>19</v>
      </c>
      <c r="E5" s="5" t="s">
        <v>20</v>
      </c>
      <c r="F5" s="6" t="s">
        <v>11</v>
      </c>
      <c r="G5" s="6" t="s">
        <v>12</v>
      </c>
      <c r="H5" s="7" t="s">
        <v>13</v>
      </c>
      <c r="I5" s="50" t="str">
        <f>VLOOKUP(H5,'[1]list PIC'!C:E,2,0)</f>
        <v>Ika Yuni SR</v>
      </c>
      <c r="J5" s="50" t="s">
        <v>682</v>
      </c>
      <c r="K5" s="50" t="s">
        <v>14</v>
      </c>
      <c r="L5" s="50" t="str">
        <f>VLOOKUP(K5,'[1]list PIC'!C:E,2,0)</f>
        <v>Teguh Sunjoyo</v>
      </c>
      <c r="M5" s="50" t="s">
        <v>683</v>
      </c>
      <c r="N5" s="50" t="s">
        <v>14</v>
      </c>
      <c r="O5" s="51" t="str">
        <f>VLOOKUP(N5,'[1]list PIC'!C:E,2,0)</f>
        <v>Teguh Sunjoyo</v>
      </c>
      <c r="P5" s="51" t="str">
        <f>VLOOKUP(N5,'[1]list PIC'!C:E,3,0)</f>
        <v>DFM</v>
      </c>
      <c r="Q5" s="52"/>
      <c r="R5" s="52"/>
      <c r="S5" s="52"/>
      <c r="T5" s="52"/>
      <c r="U5" s="52"/>
      <c r="V5" s="52"/>
      <c r="W5" s="52"/>
      <c r="X5" s="52"/>
      <c r="Y5" s="52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2" ht="31" x14ac:dyDescent="0.35">
      <c r="A6" s="9">
        <v>4</v>
      </c>
      <c r="B6" s="106"/>
      <c r="C6" s="33" t="s">
        <v>21</v>
      </c>
      <c r="D6" s="4" t="s">
        <v>22</v>
      </c>
      <c r="E6" s="5" t="s">
        <v>23</v>
      </c>
      <c r="F6" s="6" t="s">
        <v>686</v>
      </c>
      <c r="G6" s="6" t="s">
        <v>12</v>
      </c>
      <c r="H6" s="7" t="s">
        <v>13</v>
      </c>
      <c r="I6" s="50" t="str">
        <f>VLOOKUP(H6,'[1]list PIC'!C:E,2,0)</f>
        <v>Ika Yuni SR</v>
      </c>
      <c r="J6" s="50" t="s">
        <v>682</v>
      </c>
      <c r="K6" s="50" t="s">
        <v>14</v>
      </c>
      <c r="L6" s="50" t="str">
        <f>VLOOKUP(K6,'[1]list PIC'!C:E,2,0)</f>
        <v>Teguh Sunjoyo</v>
      </c>
      <c r="M6" s="50" t="s">
        <v>683</v>
      </c>
      <c r="N6" s="50" t="s">
        <v>14</v>
      </c>
      <c r="O6" s="51" t="str">
        <f>VLOOKUP(N6,'[1]list PIC'!C:E,2,0)</f>
        <v>Teguh Sunjoyo</v>
      </c>
      <c r="P6" s="51" t="str">
        <f>VLOOKUP(N6,'[1]list PIC'!C:E,3,0)</f>
        <v>DFM</v>
      </c>
      <c r="Q6" s="52"/>
      <c r="R6" s="52"/>
      <c r="S6" s="52"/>
      <c r="T6" s="52"/>
      <c r="U6" s="52"/>
      <c r="V6" s="52"/>
      <c r="W6" s="52"/>
      <c r="X6" s="52"/>
      <c r="Y6" s="52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2" ht="31" x14ac:dyDescent="0.35">
      <c r="A7" s="9">
        <v>5</v>
      </c>
      <c r="B7" s="106"/>
      <c r="C7" s="33" t="s">
        <v>25</v>
      </c>
      <c r="D7" s="4" t="s">
        <v>26</v>
      </c>
      <c r="E7" s="5" t="s">
        <v>20</v>
      </c>
      <c r="F7" s="6" t="s">
        <v>686</v>
      </c>
      <c r="G7" s="6" t="s">
        <v>12</v>
      </c>
      <c r="H7" s="7" t="s">
        <v>13</v>
      </c>
      <c r="I7" s="50" t="str">
        <f>VLOOKUP(H7,'[1]list PIC'!C:E,2,0)</f>
        <v>Ika Yuni SR</v>
      </c>
      <c r="J7" s="50" t="s">
        <v>682</v>
      </c>
      <c r="K7" s="50" t="s">
        <v>14</v>
      </c>
      <c r="L7" s="50" t="str">
        <f>VLOOKUP(K7,'[1]list PIC'!C:E,2,0)</f>
        <v>Teguh Sunjoyo</v>
      </c>
      <c r="M7" s="50" t="s">
        <v>683</v>
      </c>
      <c r="N7" s="50" t="s">
        <v>14</v>
      </c>
      <c r="O7" s="51" t="str">
        <f>VLOOKUP(N7,'[1]list PIC'!C:E,2,0)</f>
        <v>Teguh Sunjoyo</v>
      </c>
      <c r="P7" s="51" t="str">
        <f>VLOOKUP(N7,'[1]list PIC'!C:E,3,0)</f>
        <v>DFM</v>
      </c>
      <c r="Q7" s="52"/>
      <c r="R7" s="52"/>
      <c r="S7" s="52"/>
      <c r="T7" s="52"/>
      <c r="U7" s="52"/>
      <c r="V7" s="52"/>
      <c r="W7" s="52"/>
      <c r="X7" s="52"/>
      <c r="Y7" s="52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2" ht="46.5" x14ac:dyDescent="0.35">
      <c r="A8" s="9">
        <v>6</v>
      </c>
      <c r="B8" s="107"/>
      <c r="C8" s="33" t="s">
        <v>27</v>
      </c>
      <c r="D8" s="4" t="s">
        <v>28</v>
      </c>
      <c r="E8" s="5" t="s">
        <v>29</v>
      </c>
      <c r="F8" s="6" t="s">
        <v>30</v>
      </c>
      <c r="G8" s="6" t="s">
        <v>31</v>
      </c>
      <c r="H8" s="11" t="s">
        <v>32</v>
      </c>
      <c r="I8" s="50" t="s">
        <v>687</v>
      </c>
      <c r="J8" s="11" t="s">
        <v>688</v>
      </c>
      <c r="K8" s="55" t="s">
        <v>33</v>
      </c>
      <c r="L8" s="50" t="str">
        <f>VLOOKUP(K8,'[1]list PIC'!C:E,2,0)</f>
        <v>Endang Sriningsih</v>
      </c>
      <c r="M8" s="55" t="s">
        <v>689</v>
      </c>
      <c r="N8" s="50" t="s">
        <v>34</v>
      </c>
      <c r="O8" s="51" t="str">
        <f>VLOOKUP(N8,'[1]list PIC'!C:E,2,0)</f>
        <v>Robertus Edy P</v>
      </c>
      <c r="P8" s="51" t="str">
        <f>VLOOKUP(N8,'[1]list PIC'!C:E,3,0)</f>
        <v>PROD SMGR</v>
      </c>
      <c r="Q8" s="52"/>
      <c r="R8" s="52"/>
      <c r="S8" s="52"/>
      <c r="T8" s="52"/>
      <c r="U8" s="52"/>
      <c r="V8" s="52"/>
      <c r="W8" s="52"/>
      <c r="X8" s="52"/>
      <c r="Y8" s="52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2" ht="31" x14ac:dyDescent="0.35">
      <c r="A9" s="9">
        <v>7</v>
      </c>
      <c r="B9" s="54" t="s">
        <v>690</v>
      </c>
      <c r="C9" s="33" t="s">
        <v>35</v>
      </c>
      <c r="D9" s="4" t="s">
        <v>36</v>
      </c>
      <c r="E9" s="5" t="s">
        <v>37</v>
      </c>
      <c r="F9" s="6" t="s">
        <v>686</v>
      </c>
      <c r="G9" s="6" t="s">
        <v>12</v>
      </c>
      <c r="H9" s="7" t="s">
        <v>13</v>
      </c>
      <c r="I9" s="50" t="str">
        <f>VLOOKUP(H9,'[1]list PIC'!C:E,2,0)</f>
        <v>Ika Yuni SR</v>
      </c>
      <c r="J9" s="50" t="s">
        <v>682</v>
      </c>
      <c r="K9" s="50" t="s">
        <v>14</v>
      </c>
      <c r="L9" s="50" t="str">
        <f>VLOOKUP(K9,'[1]list PIC'!C:E,2,0)</f>
        <v>Teguh Sunjoyo</v>
      </c>
      <c r="M9" s="50" t="s">
        <v>683</v>
      </c>
      <c r="N9" s="50" t="s">
        <v>14</v>
      </c>
      <c r="O9" s="51" t="str">
        <f>VLOOKUP(N9,'[1]list PIC'!C:E,2,0)</f>
        <v>Teguh Sunjoyo</v>
      </c>
      <c r="P9" s="51" t="str">
        <f>VLOOKUP(N9,'[1]list PIC'!C:E,3,0)</f>
        <v>DFM</v>
      </c>
      <c r="Q9" s="52"/>
      <c r="R9" s="52"/>
      <c r="S9" s="52"/>
      <c r="T9" s="52"/>
      <c r="U9" s="52"/>
      <c r="V9" s="52"/>
      <c r="W9" s="52"/>
      <c r="X9" s="52"/>
      <c r="Y9" s="52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2" ht="62" x14ac:dyDescent="0.35">
      <c r="A10" s="9">
        <v>8</v>
      </c>
      <c r="B10" s="54" t="s">
        <v>691</v>
      </c>
      <c r="C10" s="33" t="s">
        <v>38</v>
      </c>
      <c r="D10" s="6" t="s">
        <v>39</v>
      </c>
      <c r="E10" s="5" t="s">
        <v>40</v>
      </c>
      <c r="F10" s="6" t="s">
        <v>41</v>
      </c>
      <c r="G10" s="6" t="s">
        <v>42</v>
      </c>
      <c r="H10" s="11" t="s">
        <v>43</v>
      </c>
      <c r="I10" s="50" t="s">
        <v>692</v>
      </c>
      <c r="J10" s="11" t="s">
        <v>693</v>
      </c>
      <c r="K10" s="50" t="s">
        <v>44</v>
      </c>
      <c r="L10" s="50" t="str">
        <f>VLOOKUP(K10,'[1]list PIC'!C:E,2,0)</f>
        <v>Toni Wijaya</v>
      </c>
      <c r="M10" s="50" t="s">
        <v>694</v>
      </c>
      <c r="N10" s="50" t="s">
        <v>45</v>
      </c>
      <c r="O10" s="51" t="str">
        <f>VLOOKUP(N10,'[1]list PIC'!C:E,2,0)</f>
        <v>Evis Methawan</v>
      </c>
      <c r="P10" s="51" t="str">
        <f>VLOOKUP(N10,'[1]list PIC'!C:E,3,0)</f>
        <v>QA MGR</v>
      </c>
      <c r="Q10" s="52"/>
      <c r="R10" s="52"/>
      <c r="S10" s="52"/>
      <c r="T10" s="52"/>
      <c r="U10" s="52"/>
      <c r="V10" s="52"/>
      <c r="W10" s="52"/>
      <c r="X10" s="52"/>
      <c r="Y10" s="52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2" ht="31" x14ac:dyDescent="0.35">
      <c r="A11" s="9">
        <v>9</v>
      </c>
      <c r="B11" s="54" t="s">
        <v>695</v>
      </c>
      <c r="C11" s="33" t="s">
        <v>46</v>
      </c>
      <c r="D11" s="4" t="s">
        <v>47</v>
      </c>
      <c r="E11" s="5">
        <v>14</v>
      </c>
      <c r="F11" s="6" t="s">
        <v>686</v>
      </c>
      <c r="G11" s="6" t="s">
        <v>12</v>
      </c>
      <c r="H11" s="7" t="s">
        <v>13</v>
      </c>
      <c r="I11" s="50" t="str">
        <f>VLOOKUP(H11,'[1]list PIC'!C:E,2,0)</f>
        <v>Ika Yuni SR</v>
      </c>
      <c r="J11" s="50" t="s">
        <v>682</v>
      </c>
      <c r="K11" s="50" t="s">
        <v>14</v>
      </c>
      <c r="L11" s="50" t="str">
        <f>VLOOKUP(K11,'[1]list PIC'!C:E,2,0)</f>
        <v>Teguh Sunjoyo</v>
      </c>
      <c r="M11" s="50" t="s">
        <v>683</v>
      </c>
      <c r="N11" s="50" t="s">
        <v>14</v>
      </c>
      <c r="O11" s="51" t="str">
        <f>VLOOKUP(N11,'[1]list PIC'!C:E,2,0)</f>
        <v>Teguh Sunjoyo</v>
      </c>
      <c r="P11" s="51" t="str">
        <f>VLOOKUP(N11,'[1]list PIC'!C:E,3,0)</f>
        <v>DFM</v>
      </c>
      <c r="Q11" s="52"/>
      <c r="R11" s="52"/>
      <c r="S11" s="52"/>
      <c r="T11" s="52"/>
      <c r="U11" s="52"/>
      <c r="V11" s="52"/>
      <c r="W11" s="52"/>
      <c r="X11" s="52"/>
      <c r="Y11" s="52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2" ht="31" x14ac:dyDescent="0.35">
      <c r="A12" s="9">
        <v>10</v>
      </c>
      <c r="B12" s="105" t="s">
        <v>696</v>
      </c>
      <c r="C12" s="33" t="s">
        <v>48</v>
      </c>
      <c r="D12" s="4" t="s">
        <v>49</v>
      </c>
      <c r="E12" s="5" t="s">
        <v>20</v>
      </c>
      <c r="F12" s="6" t="s">
        <v>686</v>
      </c>
      <c r="G12" s="6" t="s">
        <v>12</v>
      </c>
      <c r="H12" s="7" t="s">
        <v>13</v>
      </c>
      <c r="I12" s="50" t="str">
        <f>VLOOKUP(H12,'[1]list PIC'!C:E,2,0)</f>
        <v>Ika Yuni SR</v>
      </c>
      <c r="J12" s="50" t="s">
        <v>682</v>
      </c>
      <c r="K12" s="50" t="s">
        <v>14</v>
      </c>
      <c r="L12" s="50" t="str">
        <f>VLOOKUP(K12,'[1]list PIC'!C:E,2,0)</f>
        <v>Teguh Sunjoyo</v>
      </c>
      <c r="M12" s="50" t="s">
        <v>683</v>
      </c>
      <c r="N12" s="50" t="s">
        <v>14</v>
      </c>
      <c r="O12" s="51" t="str">
        <f>VLOOKUP(N12,'[1]list PIC'!C:E,2,0)</f>
        <v>Teguh Sunjoyo</v>
      </c>
      <c r="P12" s="51" t="str">
        <f>VLOOKUP(N12,'[1]list PIC'!C:E,3,0)</f>
        <v>DFM</v>
      </c>
      <c r="Q12" s="52"/>
      <c r="R12" s="52"/>
      <c r="S12" s="52"/>
      <c r="T12" s="52"/>
      <c r="U12" s="52"/>
      <c r="V12" s="52"/>
      <c r="W12" s="52"/>
      <c r="X12" s="52"/>
      <c r="Y12" s="52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2" ht="31" x14ac:dyDescent="0.35">
      <c r="A13" s="9">
        <v>11</v>
      </c>
      <c r="B13" s="106"/>
      <c r="C13" s="33" t="s">
        <v>50</v>
      </c>
      <c r="D13" s="4" t="s">
        <v>51</v>
      </c>
      <c r="E13" s="5" t="s">
        <v>52</v>
      </c>
      <c r="F13" s="6" t="s">
        <v>11</v>
      </c>
      <c r="G13" s="6" t="s">
        <v>12</v>
      </c>
      <c r="H13" s="7" t="s">
        <v>13</v>
      </c>
      <c r="I13" s="50" t="str">
        <f>VLOOKUP(H13,'[1]list PIC'!C:E,2,0)</f>
        <v>Ika Yuni SR</v>
      </c>
      <c r="J13" s="50" t="s">
        <v>682</v>
      </c>
      <c r="K13" s="50" t="s">
        <v>14</v>
      </c>
      <c r="L13" s="50" t="str">
        <f>VLOOKUP(K13,'[1]list PIC'!C:E,2,0)</f>
        <v>Teguh Sunjoyo</v>
      </c>
      <c r="M13" s="50" t="s">
        <v>683</v>
      </c>
      <c r="N13" s="50" t="s">
        <v>14</v>
      </c>
      <c r="O13" s="51" t="str">
        <f>VLOOKUP(N13,'[1]list PIC'!C:E,2,0)</f>
        <v>Teguh Sunjoyo</v>
      </c>
      <c r="P13" s="51" t="str">
        <f>VLOOKUP(N13,'[1]list PIC'!C:E,3,0)</f>
        <v>DFM</v>
      </c>
      <c r="Q13" s="52"/>
      <c r="R13" s="52"/>
      <c r="S13" s="52"/>
      <c r="T13" s="52"/>
      <c r="U13" s="52"/>
      <c r="V13" s="52"/>
      <c r="W13" s="52"/>
      <c r="X13" s="52"/>
      <c r="Y13" s="52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2" ht="31" x14ac:dyDescent="0.35">
      <c r="A14" s="9">
        <v>12</v>
      </c>
      <c r="B14" s="106"/>
      <c r="C14" s="33" t="s">
        <v>53</v>
      </c>
      <c r="D14" s="6" t="s">
        <v>54</v>
      </c>
      <c r="E14" s="5">
        <v>11</v>
      </c>
      <c r="F14" s="6" t="s">
        <v>55</v>
      </c>
      <c r="G14" s="6" t="s">
        <v>56</v>
      </c>
      <c r="H14" s="7" t="s">
        <v>57</v>
      </c>
      <c r="I14" s="50" t="str">
        <f>VLOOKUP(H14,'[1]list PIC'!C:E,2,0)</f>
        <v>Shinta Feriyanti</v>
      </c>
      <c r="J14" s="50" t="s">
        <v>697</v>
      </c>
      <c r="K14" s="56" t="s">
        <v>44</v>
      </c>
      <c r="L14" s="50" t="str">
        <f>VLOOKUP(K14,'[1]list PIC'!C:E,2,0)</f>
        <v>Toni Wijaya</v>
      </c>
      <c r="M14" s="50" t="s">
        <v>694</v>
      </c>
      <c r="N14" s="56" t="s">
        <v>45</v>
      </c>
      <c r="O14" s="51" t="str">
        <f>VLOOKUP(N14,'[1]list PIC'!C:E,2,0)</f>
        <v>Evis Methawan</v>
      </c>
      <c r="P14" s="51" t="str">
        <f>VLOOKUP(N14,'[1]list PIC'!C:E,3,0)</f>
        <v>QA MGR</v>
      </c>
      <c r="Q14" s="52"/>
      <c r="R14" s="52"/>
      <c r="S14" s="52"/>
      <c r="T14" s="52"/>
      <c r="U14" s="52"/>
      <c r="V14" s="52"/>
      <c r="W14" s="52"/>
      <c r="X14" s="52"/>
      <c r="Y14" s="52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2" ht="62" x14ac:dyDescent="0.35">
      <c r="A15" s="9">
        <v>13</v>
      </c>
      <c r="B15" s="106"/>
      <c r="C15" s="33" t="s">
        <v>58</v>
      </c>
      <c r="D15" s="4" t="s">
        <v>59</v>
      </c>
      <c r="E15" s="5" t="s">
        <v>29</v>
      </c>
      <c r="F15" s="6" t="s">
        <v>41</v>
      </c>
      <c r="G15" s="6" t="s">
        <v>42</v>
      </c>
      <c r="H15" s="11" t="s">
        <v>43</v>
      </c>
      <c r="I15" s="50" t="s">
        <v>692</v>
      </c>
      <c r="J15" s="11" t="s">
        <v>693</v>
      </c>
      <c r="K15" s="50" t="s">
        <v>44</v>
      </c>
      <c r="L15" s="50" t="str">
        <f>VLOOKUP(K15,'[1]list PIC'!C:E,2,0)</f>
        <v>Toni Wijaya</v>
      </c>
      <c r="M15" s="50" t="s">
        <v>694</v>
      </c>
      <c r="N15" s="50" t="s">
        <v>45</v>
      </c>
      <c r="O15" s="51" t="str">
        <f>VLOOKUP(N15,'[1]list PIC'!C:E,2,0)</f>
        <v>Evis Methawan</v>
      </c>
      <c r="P15" s="51" t="str">
        <f>VLOOKUP(N15,'[1]list PIC'!C:E,3,0)</f>
        <v>QA MGR</v>
      </c>
      <c r="Q15" s="52"/>
      <c r="R15" s="52"/>
      <c r="S15" s="52"/>
      <c r="T15" s="52"/>
      <c r="U15" s="52"/>
      <c r="V15" s="52"/>
      <c r="W15" s="52"/>
      <c r="X15" s="52"/>
      <c r="Y15" s="52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2" ht="31" x14ac:dyDescent="0.35">
      <c r="A16" s="9">
        <v>14</v>
      </c>
      <c r="B16" s="106"/>
      <c r="C16" s="33" t="s">
        <v>60</v>
      </c>
      <c r="D16" s="4" t="s">
        <v>61</v>
      </c>
      <c r="E16" s="5" t="s">
        <v>29</v>
      </c>
      <c r="F16" s="6" t="s">
        <v>11</v>
      </c>
      <c r="G16" s="6" t="s">
        <v>12</v>
      </c>
      <c r="H16" s="7" t="s">
        <v>13</v>
      </c>
      <c r="I16" s="50" t="str">
        <f>VLOOKUP(H16,'[1]list PIC'!C:E,2,0)</f>
        <v>Ika Yuni SR</v>
      </c>
      <c r="J16" s="50" t="s">
        <v>682</v>
      </c>
      <c r="K16" s="50" t="s">
        <v>14</v>
      </c>
      <c r="L16" s="50" t="str">
        <f>VLOOKUP(K16,'[1]list PIC'!C:E,2,0)</f>
        <v>Teguh Sunjoyo</v>
      </c>
      <c r="M16" s="50" t="s">
        <v>683</v>
      </c>
      <c r="N16" s="50" t="s">
        <v>14</v>
      </c>
      <c r="O16" s="51" t="str">
        <f>VLOOKUP(N16,'[1]list PIC'!C:E,2,0)</f>
        <v>Teguh Sunjoyo</v>
      </c>
      <c r="P16" s="51" t="str">
        <f>VLOOKUP(N16,'[1]list PIC'!C:E,3,0)</f>
        <v>DFM</v>
      </c>
      <c r="Q16" s="52"/>
      <c r="R16" s="52"/>
      <c r="S16" s="52"/>
      <c r="T16" s="52"/>
      <c r="U16" s="52"/>
      <c r="V16" s="52"/>
      <c r="W16" s="52"/>
      <c r="X16" s="52"/>
      <c r="Y16" s="52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62" x14ac:dyDescent="0.35">
      <c r="A17" s="9">
        <v>15</v>
      </c>
      <c r="B17" s="106"/>
      <c r="C17" s="32" t="s">
        <v>62</v>
      </c>
      <c r="D17" s="4" t="s">
        <v>63</v>
      </c>
      <c r="E17" s="5" t="s">
        <v>29</v>
      </c>
      <c r="F17" s="6" t="s">
        <v>41</v>
      </c>
      <c r="G17" s="6" t="s">
        <v>42</v>
      </c>
      <c r="H17" s="11" t="s">
        <v>43</v>
      </c>
      <c r="I17" s="50" t="s">
        <v>692</v>
      </c>
      <c r="J17" s="11" t="s">
        <v>693</v>
      </c>
      <c r="K17" s="50" t="s">
        <v>44</v>
      </c>
      <c r="L17" s="50" t="str">
        <f>VLOOKUP(K17,'[1]list PIC'!C:E,2,0)</f>
        <v>Toni Wijaya</v>
      </c>
      <c r="M17" s="50" t="s">
        <v>694</v>
      </c>
      <c r="N17" s="50" t="s">
        <v>45</v>
      </c>
      <c r="O17" s="51" t="str">
        <f>VLOOKUP(N17,'[1]list PIC'!C:E,2,0)</f>
        <v>Evis Methawan</v>
      </c>
      <c r="P17" s="51" t="str">
        <f>VLOOKUP(N17,'[1]list PIC'!C:E,3,0)</f>
        <v>QA MGR</v>
      </c>
      <c r="Q17" s="52"/>
      <c r="R17" s="52"/>
      <c r="S17" s="52"/>
      <c r="T17" s="52"/>
      <c r="U17" s="52"/>
      <c r="V17" s="52"/>
      <c r="W17" s="52"/>
      <c r="X17" s="52"/>
      <c r="Y17" s="52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ht="31" x14ac:dyDescent="0.35">
      <c r="A18" s="9">
        <v>16</v>
      </c>
      <c r="B18" s="106"/>
      <c r="C18" s="33" t="s">
        <v>64</v>
      </c>
      <c r="D18" s="4" t="s">
        <v>65</v>
      </c>
      <c r="E18" s="15" t="s">
        <v>20</v>
      </c>
      <c r="F18" s="4" t="s">
        <v>11</v>
      </c>
      <c r="G18" s="6" t="s">
        <v>12</v>
      </c>
      <c r="H18" s="7" t="s">
        <v>13</v>
      </c>
      <c r="I18" s="50" t="str">
        <f>VLOOKUP(H18,'[1]list PIC'!C:E,2,0)</f>
        <v>Ika Yuni SR</v>
      </c>
      <c r="J18" s="50" t="s">
        <v>682</v>
      </c>
      <c r="K18" s="50" t="s">
        <v>14</v>
      </c>
      <c r="L18" s="50" t="str">
        <f>VLOOKUP(K18,'[1]list PIC'!C:E,2,0)</f>
        <v>Teguh Sunjoyo</v>
      </c>
      <c r="M18" s="50" t="s">
        <v>683</v>
      </c>
      <c r="N18" s="50" t="s">
        <v>14</v>
      </c>
      <c r="O18" s="51" t="str">
        <f>VLOOKUP(N18,'[1]list PIC'!C:E,2,0)</f>
        <v>Teguh Sunjoyo</v>
      </c>
      <c r="P18" s="51" t="str">
        <f>VLOOKUP(N18,'[1]list PIC'!C:E,3,0)</f>
        <v>DFM</v>
      </c>
      <c r="Q18" s="52"/>
      <c r="R18" s="52"/>
      <c r="S18" s="52"/>
      <c r="T18" s="52"/>
      <c r="U18" s="52"/>
      <c r="V18" s="52"/>
      <c r="W18" s="52"/>
      <c r="X18" s="52"/>
      <c r="Y18" s="52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31" x14ac:dyDescent="0.35">
      <c r="A19" s="9">
        <v>17</v>
      </c>
      <c r="B19" s="106"/>
      <c r="C19" s="32" t="s">
        <v>66</v>
      </c>
      <c r="D19" s="4" t="s">
        <v>67</v>
      </c>
      <c r="E19" s="15" t="s">
        <v>29</v>
      </c>
      <c r="F19" s="4" t="s">
        <v>68</v>
      </c>
      <c r="G19" s="4" t="s">
        <v>69</v>
      </c>
      <c r="H19" s="7" t="s">
        <v>13</v>
      </c>
      <c r="I19" s="50" t="str">
        <f>VLOOKUP(H19,'[1]list PIC'!C:E,2,0)</f>
        <v>Ika Yuni SR</v>
      </c>
      <c r="J19" s="50" t="s">
        <v>682</v>
      </c>
      <c r="K19" s="50" t="s">
        <v>14</v>
      </c>
      <c r="L19" s="50" t="str">
        <f>VLOOKUP(K19,'[1]list PIC'!C:E,2,0)</f>
        <v>Teguh Sunjoyo</v>
      </c>
      <c r="M19" s="50" t="s">
        <v>683</v>
      </c>
      <c r="N19" s="50" t="s">
        <v>14</v>
      </c>
      <c r="O19" s="51" t="str">
        <f>VLOOKUP(N19,'[1]list PIC'!C:E,2,0)</f>
        <v>Teguh Sunjoyo</v>
      </c>
      <c r="P19" s="51" t="str">
        <f>VLOOKUP(N19,'[1]list PIC'!C:E,3,0)</f>
        <v>DFM</v>
      </c>
      <c r="Q19" s="50" t="s">
        <v>70</v>
      </c>
      <c r="R19" s="50" t="str">
        <f>VLOOKUP(Q19,'[1]list PIC'!C:E,2,0)</f>
        <v>Agung Indrayana</v>
      </c>
      <c r="S19" s="50" t="str">
        <f>VLOOKUP(Q19,'[1]list PIC'!C:E,3,0)</f>
        <v>PGA SSPV</v>
      </c>
      <c r="T19" s="50" t="s">
        <v>71</v>
      </c>
      <c r="U19" s="50" t="str">
        <f>VLOOKUP(T19,'[1]list PIC'!C:E,2,0)</f>
        <v>Cahyo Adi Nugroho</v>
      </c>
      <c r="V19" s="50" t="str">
        <f>VLOOKUP(T19,'[1]list PIC'!C:E,3,0)</f>
        <v>PGA SMGR</v>
      </c>
      <c r="W19" s="50" t="s">
        <v>71</v>
      </c>
      <c r="X19" s="51" t="str">
        <f>VLOOKUP(W19,'[1]list PIC'!C:E,2,0)</f>
        <v>Cahyo Adi Nugroho</v>
      </c>
      <c r="Y19" s="51" t="str">
        <f>VLOOKUP(W19,'[1]list PIC'!C:E,3,0)</f>
        <v>PGA SMGR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ht="62" x14ac:dyDescent="0.35">
      <c r="A20" s="9">
        <v>18</v>
      </c>
      <c r="B20" s="106"/>
      <c r="C20" s="33" t="s">
        <v>72</v>
      </c>
      <c r="D20" s="4" t="s">
        <v>73</v>
      </c>
      <c r="E20" s="5" t="s">
        <v>29</v>
      </c>
      <c r="F20" s="6" t="s">
        <v>41</v>
      </c>
      <c r="G20" s="6" t="s">
        <v>42</v>
      </c>
      <c r="H20" s="11" t="s">
        <v>43</v>
      </c>
      <c r="I20" s="50" t="s">
        <v>692</v>
      </c>
      <c r="J20" s="11" t="s">
        <v>693</v>
      </c>
      <c r="K20" s="50" t="s">
        <v>44</v>
      </c>
      <c r="L20" s="50" t="str">
        <f>VLOOKUP(K20,'[1]list PIC'!C:E,2,0)</f>
        <v>Toni Wijaya</v>
      </c>
      <c r="M20" s="50" t="s">
        <v>694</v>
      </c>
      <c r="N20" s="50" t="s">
        <v>45</v>
      </c>
      <c r="O20" s="51" t="str">
        <f>VLOOKUP(N20,'[1]list PIC'!C:E,2,0)</f>
        <v>Evis Methawan</v>
      </c>
      <c r="P20" s="51" t="str">
        <f>VLOOKUP(N20,'[1]list PIC'!C:E,3,0)</f>
        <v>QA MGR</v>
      </c>
      <c r="Q20" s="52"/>
      <c r="R20" s="52"/>
      <c r="S20" s="52"/>
      <c r="T20" s="52"/>
      <c r="U20" s="52"/>
      <c r="V20" s="52"/>
      <c r="W20" s="52"/>
      <c r="X20" s="52"/>
      <c r="Y20" s="52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ht="15.5" x14ac:dyDescent="0.35">
      <c r="A21" s="9">
        <v>19</v>
      </c>
      <c r="B21" s="106"/>
      <c r="C21" s="33" t="s">
        <v>74</v>
      </c>
      <c r="D21" s="4" t="s">
        <v>75</v>
      </c>
      <c r="E21" s="15" t="s">
        <v>76</v>
      </c>
      <c r="F21" s="4" t="s">
        <v>77</v>
      </c>
      <c r="G21" s="4" t="s">
        <v>78</v>
      </c>
      <c r="H21" s="7" t="s">
        <v>79</v>
      </c>
      <c r="I21" s="50" t="str">
        <f>VLOOKUP(H21,'[1]list PIC'!C:E,2,0)</f>
        <v>Atiek Sriwahyuni</v>
      </c>
      <c r="J21" s="50" t="s">
        <v>698</v>
      </c>
      <c r="K21" s="50" t="s">
        <v>44</v>
      </c>
      <c r="L21" s="50" t="str">
        <f>VLOOKUP(K21,'[1]list PIC'!C:E,2,0)</f>
        <v>Toni Wijaya</v>
      </c>
      <c r="M21" s="50" t="s">
        <v>694</v>
      </c>
      <c r="N21" s="50" t="s">
        <v>45</v>
      </c>
      <c r="O21" s="51" t="str">
        <f>VLOOKUP(N21,'[1]list PIC'!C:E,2,0)</f>
        <v>Evis Methawan</v>
      </c>
      <c r="P21" s="51" t="str">
        <f>VLOOKUP(N21,'[1]list PIC'!C:E,3,0)</f>
        <v>QA MGR</v>
      </c>
      <c r="Q21" s="52"/>
      <c r="R21" s="52"/>
      <c r="S21" s="52"/>
      <c r="T21" s="52"/>
      <c r="U21" s="52"/>
      <c r="V21" s="52"/>
      <c r="W21" s="52"/>
      <c r="X21" s="52"/>
      <c r="Y21" s="52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62" x14ac:dyDescent="0.35">
      <c r="A22" s="9">
        <v>20</v>
      </c>
      <c r="B22" s="107"/>
      <c r="C22" s="32" t="s">
        <v>80</v>
      </c>
      <c r="D22" s="4" t="s">
        <v>81</v>
      </c>
      <c r="E22" s="5" t="s">
        <v>20</v>
      </c>
      <c r="F22" s="16" t="s">
        <v>699</v>
      </c>
      <c r="G22" s="6" t="s">
        <v>42</v>
      </c>
      <c r="H22" s="11" t="s">
        <v>43</v>
      </c>
      <c r="I22" s="50" t="s">
        <v>692</v>
      </c>
      <c r="J22" s="11" t="s">
        <v>693</v>
      </c>
      <c r="K22" s="50" t="s">
        <v>44</v>
      </c>
      <c r="L22" s="50" t="str">
        <f>VLOOKUP(K22,'[1]list PIC'!C:E,2,0)</f>
        <v>Toni Wijaya</v>
      </c>
      <c r="M22" s="50" t="s">
        <v>694</v>
      </c>
      <c r="N22" s="50" t="s">
        <v>45</v>
      </c>
      <c r="O22" s="51" t="str">
        <f>VLOOKUP(N22,'[1]list PIC'!C:E,2,0)</f>
        <v>Evis Methawan</v>
      </c>
      <c r="P22" s="51" t="str">
        <f>VLOOKUP(N22,'[1]list PIC'!C:E,3,0)</f>
        <v>QA MGR</v>
      </c>
      <c r="Q22" s="52"/>
      <c r="R22" s="52"/>
      <c r="S22" s="52"/>
      <c r="T22" s="52"/>
      <c r="U22" s="52"/>
      <c r="V22" s="52"/>
      <c r="W22" s="52"/>
      <c r="X22" s="52"/>
      <c r="Y22" s="52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31" x14ac:dyDescent="0.35">
      <c r="A23" s="9">
        <v>21</v>
      </c>
      <c r="B23" s="53" t="s">
        <v>700</v>
      </c>
      <c r="C23" s="33" t="s">
        <v>83</v>
      </c>
      <c r="D23" s="4" t="s">
        <v>84</v>
      </c>
      <c r="E23" s="5">
        <v>12</v>
      </c>
      <c r="F23" s="6" t="s">
        <v>11</v>
      </c>
      <c r="G23" s="6" t="s">
        <v>12</v>
      </c>
      <c r="H23" s="7" t="s">
        <v>13</v>
      </c>
      <c r="I23" s="50" t="str">
        <f>VLOOKUP(H23,'[1]list PIC'!C:E,2,0)</f>
        <v>Ika Yuni SR</v>
      </c>
      <c r="J23" s="50" t="s">
        <v>682</v>
      </c>
      <c r="K23" s="50" t="s">
        <v>14</v>
      </c>
      <c r="L23" s="50" t="str">
        <f>VLOOKUP(K23,'[1]list PIC'!C:E,2,0)</f>
        <v>Teguh Sunjoyo</v>
      </c>
      <c r="M23" s="50" t="s">
        <v>683</v>
      </c>
      <c r="N23" s="50" t="s">
        <v>14</v>
      </c>
      <c r="O23" s="51" t="str">
        <f>VLOOKUP(N23,'[1]list PIC'!C:E,2,0)</f>
        <v>Teguh Sunjoyo</v>
      </c>
      <c r="P23" s="51" t="str">
        <f>VLOOKUP(N23,'[1]list PIC'!C:E,3,0)</f>
        <v>DFM</v>
      </c>
      <c r="Q23" s="52"/>
      <c r="R23" s="52"/>
      <c r="S23" s="52"/>
      <c r="T23" s="52"/>
      <c r="U23" s="52"/>
      <c r="V23" s="52"/>
      <c r="W23" s="52"/>
      <c r="X23" s="52"/>
      <c r="Y23" s="52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31" x14ac:dyDescent="0.35">
      <c r="A24" s="9">
        <v>22</v>
      </c>
      <c r="B24" s="105" t="s">
        <v>701</v>
      </c>
      <c r="C24" s="33" t="s">
        <v>85</v>
      </c>
      <c r="D24" s="4" t="s">
        <v>86</v>
      </c>
      <c r="E24" s="5" t="s">
        <v>20</v>
      </c>
      <c r="F24" s="6" t="s">
        <v>87</v>
      </c>
      <c r="G24" s="57" t="s">
        <v>88</v>
      </c>
      <c r="H24" s="7" t="s">
        <v>89</v>
      </c>
      <c r="I24" s="50" t="str">
        <f>VLOOKUP(H24,'[1]list PIC'!C:E,2,0)</f>
        <v>Vinny Rahmawati</v>
      </c>
      <c r="J24" s="50" t="s">
        <v>702</v>
      </c>
      <c r="K24" s="56" t="s">
        <v>90</v>
      </c>
      <c r="L24" s="50" t="str">
        <f>VLOOKUP(K24,'[1]list PIC'!C:E,2,0)</f>
        <v>Kholiq Imam W</v>
      </c>
      <c r="M24" s="50" t="str">
        <f>VLOOKUP(K24,'[1]list PIC'!C:E,3,0)</f>
        <v>MTC MGR</v>
      </c>
      <c r="N24" s="56" t="s">
        <v>90</v>
      </c>
      <c r="O24" s="51" t="str">
        <f>VLOOKUP(N24,'[1]list PIC'!C:E,2,0)</f>
        <v>Kholiq Imam W</v>
      </c>
      <c r="P24" s="51" t="str">
        <f>VLOOKUP(N24,'[1]list PIC'!C:E,3,0)</f>
        <v>MTC MGR</v>
      </c>
      <c r="Q24" s="50" t="s">
        <v>79</v>
      </c>
      <c r="R24" s="50" t="str">
        <f>VLOOKUP(Q24,'[1]list PIC'!C:E,2,0)</f>
        <v>Atiek Sriwahyuni</v>
      </c>
      <c r="S24" s="50" t="str">
        <f>VLOOKUP(Q24,'[1]list PIC'!C:E,3,0)</f>
        <v>QA SPV</v>
      </c>
      <c r="T24" s="50" t="s">
        <v>44</v>
      </c>
      <c r="U24" s="50" t="str">
        <f>VLOOKUP(T24,'[1]list PIC'!C:E,2,0)</f>
        <v>Toni Wijaya</v>
      </c>
      <c r="V24" s="50" t="str">
        <f>VLOOKUP(T24,'[1]list PIC'!C:E,3,0)</f>
        <v>QA SSPV</v>
      </c>
      <c r="W24" s="50" t="s">
        <v>45</v>
      </c>
      <c r="X24" s="51" t="str">
        <f>VLOOKUP(W24,'[1]list PIC'!C:E,2,0)</f>
        <v>Evis Methawan</v>
      </c>
      <c r="Y24" s="51" t="str">
        <f>VLOOKUP(W24,'[1]list PIC'!C:E,3,0)</f>
        <v>QA MGR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31" x14ac:dyDescent="0.35">
      <c r="A25" s="9">
        <v>23</v>
      </c>
      <c r="B25" s="107"/>
      <c r="C25" s="32" t="s">
        <v>91</v>
      </c>
      <c r="D25" s="4" t="s">
        <v>92</v>
      </c>
      <c r="E25" s="5" t="s">
        <v>17</v>
      </c>
      <c r="F25" s="6" t="s">
        <v>11</v>
      </c>
      <c r="G25" s="6" t="s">
        <v>12</v>
      </c>
      <c r="H25" s="7" t="s">
        <v>13</v>
      </c>
      <c r="I25" s="50" t="str">
        <f>VLOOKUP(H25,'[1]list PIC'!C:E,2,0)</f>
        <v>Ika Yuni SR</v>
      </c>
      <c r="J25" s="50" t="s">
        <v>682</v>
      </c>
      <c r="K25" s="50" t="s">
        <v>14</v>
      </c>
      <c r="L25" s="50" t="str">
        <f>VLOOKUP(K25,'[1]list PIC'!C:E,2,0)</f>
        <v>Teguh Sunjoyo</v>
      </c>
      <c r="M25" s="50" t="s">
        <v>683</v>
      </c>
      <c r="N25" s="50" t="s">
        <v>14</v>
      </c>
      <c r="O25" s="51" t="str">
        <f>VLOOKUP(N25,'[1]list PIC'!C:E,2,0)</f>
        <v>Teguh Sunjoyo</v>
      </c>
      <c r="P25" s="51" t="str">
        <f>VLOOKUP(N25,'[1]list PIC'!C:E,3,0)</f>
        <v>DFM</v>
      </c>
      <c r="Q25" s="52"/>
      <c r="R25" s="52"/>
      <c r="S25" s="52"/>
      <c r="T25" s="52"/>
      <c r="U25" s="52"/>
      <c r="V25" s="52"/>
      <c r="W25" s="52"/>
      <c r="X25" s="52"/>
      <c r="Y25" s="52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31" x14ac:dyDescent="0.35">
      <c r="A26" s="9">
        <v>24</v>
      </c>
      <c r="B26" s="53" t="s">
        <v>703</v>
      </c>
      <c r="C26" s="32" t="s">
        <v>93</v>
      </c>
      <c r="D26" s="4" t="s">
        <v>94</v>
      </c>
      <c r="E26" s="5" t="s">
        <v>40</v>
      </c>
      <c r="F26" s="6" t="s">
        <v>95</v>
      </c>
      <c r="G26" s="6" t="s">
        <v>12</v>
      </c>
      <c r="H26" s="7" t="s">
        <v>13</v>
      </c>
      <c r="I26" s="50" t="str">
        <f>VLOOKUP(H26,'[1]list PIC'!C:E,2,0)</f>
        <v>Ika Yuni SR</v>
      </c>
      <c r="J26" s="50" t="s">
        <v>682</v>
      </c>
      <c r="K26" s="50" t="s">
        <v>14</v>
      </c>
      <c r="L26" s="50" t="str">
        <f>VLOOKUP(K26,'[1]list PIC'!C:E,2,0)</f>
        <v>Teguh Sunjoyo</v>
      </c>
      <c r="M26" s="50" t="s">
        <v>683</v>
      </c>
      <c r="N26" s="50" t="s">
        <v>14</v>
      </c>
      <c r="O26" s="51" t="str">
        <f>VLOOKUP(N26,'[1]list PIC'!C:E,2,0)</f>
        <v>Teguh Sunjoyo</v>
      </c>
      <c r="P26" s="51" t="str">
        <f>VLOOKUP(N26,'[1]list PIC'!C:E,3,0)</f>
        <v>DFM</v>
      </c>
      <c r="Q26" s="52"/>
      <c r="R26" s="52"/>
      <c r="S26" s="52"/>
      <c r="T26" s="52"/>
      <c r="U26" s="52"/>
      <c r="V26" s="52"/>
      <c r="W26" s="52"/>
      <c r="X26" s="52"/>
      <c r="Y26" s="52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31" x14ac:dyDescent="0.35">
      <c r="A27" s="9">
        <v>25</v>
      </c>
      <c r="B27" s="105" t="s">
        <v>704</v>
      </c>
      <c r="C27" s="32" t="s">
        <v>96</v>
      </c>
      <c r="D27" s="4" t="s">
        <v>97</v>
      </c>
      <c r="E27" s="5" t="s">
        <v>17</v>
      </c>
      <c r="F27" s="6" t="s">
        <v>705</v>
      </c>
      <c r="G27" s="6" t="s">
        <v>99</v>
      </c>
      <c r="H27" s="7" t="s">
        <v>100</v>
      </c>
      <c r="I27" s="50" t="str">
        <f>VLOOKUP(H27,'[1]list PIC'!C:E,2,0)</f>
        <v>Noviasari Ika A</v>
      </c>
      <c r="J27" s="50" t="s">
        <v>706</v>
      </c>
      <c r="K27" s="50" t="s">
        <v>101</v>
      </c>
      <c r="L27" s="50" t="str">
        <f>VLOOKUP(K27,'[1]list PIC'!C:E,2,0)</f>
        <v>Arie Tri Hertati</v>
      </c>
      <c r="M27" s="50" t="s">
        <v>707</v>
      </c>
      <c r="N27" s="50" t="s">
        <v>71</v>
      </c>
      <c r="O27" s="51" t="str">
        <f>VLOOKUP(N27,'[1]list PIC'!C:E,2,0)</f>
        <v>Cahyo Adi Nugroho</v>
      </c>
      <c r="P27" s="51" t="str">
        <f>VLOOKUP(N27,'[1]list PIC'!C:E,3,0)</f>
        <v>PGA SMGR</v>
      </c>
      <c r="Q27" s="52"/>
      <c r="R27" s="52"/>
      <c r="S27" s="52"/>
      <c r="T27" s="52"/>
      <c r="U27" s="52"/>
      <c r="V27" s="52"/>
      <c r="W27" s="52"/>
      <c r="X27" s="52"/>
      <c r="Y27" s="52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ht="31" x14ac:dyDescent="0.35">
      <c r="A28" s="9">
        <v>26</v>
      </c>
      <c r="B28" s="106"/>
      <c r="C28" s="33" t="s">
        <v>102</v>
      </c>
      <c r="D28" s="6" t="s">
        <v>103</v>
      </c>
      <c r="E28" s="5" t="s">
        <v>76</v>
      </c>
      <c r="F28" s="6" t="s">
        <v>705</v>
      </c>
      <c r="G28" s="6" t="s">
        <v>99</v>
      </c>
      <c r="H28" s="7" t="s">
        <v>100</v>
      </c>
      <c r="I28" s="50" t="str">
        <f>VLOOKUP(H28,'[1]list PIC'!C:E,2,0)</f>
        <v>Noviasari Ika A</v>
      </c>
      <c r="J28" s="50" t="s">
        <v>706</v>
      </c>
      <c r="K28" s="50" t="s">
        <v>101</v>
      </c>
      <c r="L28" s="50" t="str">
        <f>VLOOKUP(K28,'[1]list PIC'!C:E,2,0)</f>
        <v>Arie Tri Hertati</v>
      </c>
      <c r="M28" s="50" t="s">
        <v>707</v>
      </c>
      <c r="N28" s="50" t="s">
        <v>71</v>
      </c>
      <c r="O28" s="51" t="str">
        <f>VLOOKUP(N28,'[1]list PIC'!C:E,2,0)</f>
        <v>Cahyo Adi Nugroho</v>
      </c>
      <c r="P28" s="51" t="str">
        <f>VLOOKUP(N28,'[1]list PIC'!C:E,3,0)</f>
        <v>PGA SMGR</v>
      </c>
      <c r="Q28" s="52"/>
      <c r="R28" s="52"/>
      <c r="S28" s="52"/>
      <c r="T28" s="52"/>
      <c r="U28" s="52"/>
      <c r="V28" s="52"/>
      <c r="W28" s="52"/>
      <c r="X28" s="52"/>
      <c r="Y28" s="52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31" x14ac:dyDescent="0.35">
      <c r="A29" s="9">
        <v>27</v>
      </c>
      <c r="B29" s="106"/>
      <c r="C29" s="32" t="s">
        <v>104</v>
      </c>
      <c r="D29" s="4" t="s">
        <v>105</v>
      </c>
      <c r="E29" s="5" t="s">
        <v>37</v>
      </c>
      <c r="F29" s="6" t="s">
        <v>705</v>
      </c>
      <c r="G29" s="6" t="s">
        <v>99</v>
      </c>
      <c r="H29" s="7" t="s">
        <v>100</v>
      </c>
      <c r="I29" s="50" t="str">
        <f>VLOOKUP(H29,'[1]list PIC'!C:E,2,0)</f>
        <v>Noviasari Ika A</v>
      </c>
      <c r="J29" s="50" t="s">
        <v>706</v>
      </c>
      <c r="K29" s="50" t="s">
        <v>101</v>
      </c>
      <c r="L29" s="50" t="str">
        <f>VLOOKUP(K29,'[1]list PIC'!C:E,2,0)</f>
        <v>Arie Tri Hertati</v>
      </c>
      <c r="M29" s="50" t="s">
        <v>707</v>
      </c>
      <c r="N29" s="50" t="s">
        <v>71</v>
      </c>
      <c r="O29" s="51" t="str">
        <f>VLOOKUP(N29,'[1]list PIC'!C:E,2,0)</f>
        <v>Cahyo Adi Nugroho</v>
      </c>
      <c r="P29" s="51" t="str">
        <f>VLOOKUP(N29,'[1]list PIC'!C:E,3,0)</f>
        <v>PGA SMGR</v>
      </c>
      <c r="Q29" s="52"/>
      <c r="R29" s="52"/>
      <c r="S29" s="52"/>
      <c r="T29" s="52"/>
      <c r="U29" s="52"/>
      <c r="V29" s="52"/>
      <c r="W29" s="52"/>
      <c r="X29" s="52"/>
      <c r="Y29" s="52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ht="31" x14ac:dyDescent="0.35">
      <c r="A30" s="9">
        <v>28</v>
      </c>
      <c r="B30" s="106"/>
      <c r="C30" s="33" t="s">
        <v>106</v>
      </c>
      <c r="D30" s="6" t="s">
        <v>107</v>
      </c>
      <c r="E30" s="5" t="s">
        <v>40</v>
      </c>
      <c r="F30" s="6" t="s">
        <v>108</v>
      </c>
      <c r="G30" s="29" t="s">
        <v>109</v>
      </c>
      <c r="H30" s="7" t="s">
        <v>100</v>
      </c>
      <c r="I30" s="50" t="str">
        <f>VLOOKUP(H30,'[1]list PIC'!C:E,2,0)</f>
        <v>Noviasari Ika A</v>
      </c>
      <c r="J30" s="50" t="s">
        <v>706</v>
      </c>
      <c r="K30" s="50" t="s">
        <v>101</v>
      </c>
      <c r="L30" s="50" t="str">
        <f>VLOOKUP(K30,'[1]list PIC'!C:E,2,0)</f>
        <v>Arie Tri Hertati</v>
      </c>
      <c r="M30" s="50" t="s">
        <v>707</v>
      </c>
      <c r="N30" s="50" t="s">
        <v>71</v>
      </c>
      <c r="O30" s="51" t="str">
        <f>VLOOKUP(N30,'[1]list PIC'!C:E,2,0)</f>
        <v>Cahyo Adi Nugroho</v>
      </c>
      <c r="P30" s="51" t="str">
        <f>VLOOKUP(N30,'[1]list PIC'!C:E,3,0)</f>
        <v>PGA SMGR</v>
      </c>
      <c r="Q30" s="52"/>
      <c r="R30" s="52"/>
      <c r="S30" s="52"/>
      <c r="T30" s="52"/>
      <c r="U30" s="52"/>
      <c r="V30" s="52"/>
      <c r="W30" s="52"/>
      <c r="X30" s="52"/>
      <c r="Y30" s="52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31" x14ac:dyDescent="0.35">
      <c r="A31" s="9">
        <v>29</v>
      </c>
      <c r="B31" s="106"/>
      <c r="C31" s="33" t="s">
        <v>110</v>
      </c>
      <c r="D31" s="4" t="s">
        <v>111</v>
      </c>
      <c r="E31" s="5" t="s">
        <v>23</v>
      </c>
      <c r="F31" s="6" t="s">
        <v>112</v>
      </c>
      <c r="G31" s="6" t="s">
        <v>113</v>
      </c>
      <c r="H31" s="7" t="s">
        <v>101</v>
      </c>
      <c r="I31" s="50" t="str">
        <f>VLOOKUP(H31,'[1]list PIC'!C:E,2,0)</f>
        <v>Arie Tri Hertati</v>
      </c>
      <c r="J31" s="50" t="s">
        <v>707</v>
      </c>
      <c r="K31" s="50" t="s">
        <v>71</v>
      </c>
      <c r="L31" s="50" t="str">
        <f>VLOOKUP(K31,'[1]list PIC'!C:E,2,0)</f>
        <v>Cahyo Adi Nugroho</v>
      </c>
      <c r="M31" s="50" t="s">
        <v>708</v>
      </c>
      <c r="N31" s="50" t="s">
        <v>71</v>
      </c>
      <c r="O31" s="51" t="str">
        <f>VLOOKUP(N31,'[1]list PIC'!C:E,2,0)</f>
        <v>Cahyo Adi Nugroho</v>
      </c>
      <c r="P31" s="51" t="str">
        <f>VLOOKUP(N31,'[1]list PIC'!C:E,3,0)</f>
        <v>PGA SMGR</v>
      </c>
      <c r="Q31" s="52"/>
      <c r="R31" s="52"/>
      <c r="S31" s="52"/>
      <c r="T31" s="52"/>
      <c r="U31" s="52"/>
      <c r="V31" s="52"/>
      <c r="W31" s="52"/>
      <c r="X31" s="52"/>
      <c r="Y31" s="52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ht="31" x14ac:dyDescent="0.35">
      <c r="A32" s="9">
        <v>30</v>
      </c>
      <c r="B32" s="106"/>
      <c r="C32" s="32" t="s">
        <v>114</v>
      </c>
      <c r="D32" s="6" t="s">
        <v>115</v>
      </c>
      <c r="E32" s="5">
        <v>10</v>
      </c>
      <c r="F32" s="6" t="s">
        <v>709</v>
      </c>
      <c r="G32" s="6" t="s">
        <v>117</v>
      </c>
      <c r="H32" s="7" t="s">
        <v>118</v>
      </c>
      <c r="I32" s="50" t="str">
        <f>VLOOKUP(H32,'[1]list PIC'!C:E,2,0)</f>
        <v>Nurdianengseh</v>
      </c>
      <c r="J32" s="50" t="s">
        <v>710</v>
      </c>
      <c r="K32" s="50" t="s">
        <v>119</v>
      </c>
      <c r="L32" s="50" t="str">
        <f>VLOOKUP(K32,'[1]list PIC'!C:E,2,0)</f>
        <v>Wiwin Windarwati</v>
      </c>
      <c r="M32" s="50" t="s">
        <v>711</v>
      </c>
      <c r="N32" s="50" t="s">
        <v>34</v>
      </c>
      <c r="O32" s="51" t="str">
        <f>VLOOKUP(N32,'[1]list PIC'!C:E,2,0)</f>
        <v>Robertus Edy P</v>
      </c>
      <c r="P32" s="51" t="str">
        <f>VLOOKUP(N32,'[1]list PIC'!C:E,3,0)</f>
        <v>PROD SMGR</v>
      </c>
      <c r="Q32" s="52"/>
      <c r="R32" s="52"/>
      <c r="S32" s="52"/>
      <c r="T32" s="52"/>
      <c r="U32" s="52"/>
      <c r="V32" s="52"/>
      <c r="W32" s="52"/>
      <c r="X32" s="52"/>
      <c r="Y32" s="52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31" x14ac:dyDescent="0.35">
      <c r="A33" s="9">
        <v>31</v>
      </c>
      <c r="B33" s="106"/>
      <c r="C33" s="33" t="s">
        <v>120</v>
      </c>
      <c r="D33" s="4" t="s">
        <v>121</v>
      </c>
      <c r="E33" s="5" t="s">
        <v>52</v>
      </c>
      <c r="F33" s="6" t="s">
        <v>709</v>
      </c>
      <c r="G33" s="6" t="s">
        <v>117</v>
      </c>
      <c r="H33" s="7" t="s">
        <v>118</v>
      </c>
      <c r="I33" s="50" t="str">
        <f>VLOOKUP(H33,'[1]list PIC'!C:E,2,0)</f>
        <v>Nurdianengseh</v>
      </c>
      <c r="J33" s="50" t="s">
        <v>710</v>
      </c>
      <c r="K33" s="50" t="s">
        <v>119</v>
      </c>
      <c r="L33" s="50" t="str">
        <f>VLOOKUP(K33,'[1]list PIC'!C:E,2,0)</f>
        <v>Wiwin Windarwati</v>
      </c>
      <c r="M33" s="50" t="s">
        <v>711</v>
      </c>
      <c r="N33" s="50" t="s">
        <v>34</v>
      </c>
      <c r="O33" s="51" t="str">
        <f>VLOOKUP(N33,'[1]list PIC'!C:E,2,0)</f>
        <v>Robertus Edy P</v>
      </c>
      <c r="P33" s="51" t="str">
        <f>VLOOKUP(N33,'[1]list PIC'!C:E,3,0)</f>
        <v>PROD SMGR</v>
      </c>
      <c r="Q33" s="52"/>
      <c r="R33" s="52"/>
      <c r="S33" s="52"/>
      <c r="T33" s="52"/>
      <c r="U33" s="52"/>
      <c r="V33" s="52"/>
      <c r="W33" s="52"/>
      <c r="X33" s="52"/>
      <c r="Y33" s="52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31" x14ac:dyDescent="0.35">
      <c r="A34" s="9">
        <v>32</v>
      </c>
      <c r="B34" s="106"/>
      <c r="C34" s="58" t="s">
        <v>122</v>
      </c>
      <c r="D34" s="4" t="s">
        <v>123</v>
      </c>
      <c r="E34" s="5" t="s">
        <v>23</v>
      </c>
      <c r="F34" s="6" t="s">
        <v>709</v>
      </c>
      <c r="G34" s="6" t="s">
        <v>117</v>
      </c>
      <c r="H34" s="7" t="s">
        <v>118</v>
      </c>
      <c r="I34" s="50" t="str">
        <f>VLOOKUP(H34,'[1]list PIC'!C:E,2,0)</f>
        <v>Nurdianengseh</v>
      </c>
      <c r="J34" s="50" t="s">
        <v>710</v>
      </c>
      <c r="K34" s="50" t="s">
        <v>119</v>
      </c>
      <c r="L34" s="50" t="str">
        <f>VLOOKUP(K34,'[1]list PIC'!C:E,2,0)</f>
        <v>Wiwin Windarwati</v>
      </c>
      <c r="M34" s="50" t="s">
        <v>711</v>
      </c>
      <c r="N34" s="50" t="s">
        <v>34</v>
      </c>
      <c r="O34" s="51" t="str">
        <f>VLOOKUP(N34,'[1]list PIC'!C:E,2,0)</f>
        <v>Robertus Edy P</v>
      </c>
      <c r="P34" s="51" t="str">
        <f>VLOOKUP(N34,'[1]list PIC'!C:E,3,0)</f>
        <v>PROD SMGR</v>
      </c>
      <c r="Q34" s="52"/>
      <c r="R34" s="52"/>
      <c r="S34" s="52"/>
      <c r="T34" s="52"/>
      <c r="U34" s="52"/>
      <c r="V34" s="52"/>
      <c r="W34" s="52"/>
      <c r="X34" s="52"/>
      <c r="Y34" s="52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31" x14ac:dyDescent="0.35">
      <c r="A35" s="9">
        <v>33</v>
      </c>
      <c r="B35" s="106"/>
      <c r="C35" s="33" t="s">
        <v>124</v>
      </c>
      <c r="D35" s="4" t="s">
        <v>125</v>
      </c>
      <c r="E35" s="5" t="s">
        <v>20</v>
      </c>
      <c r="F35" s="6" t="s">
        <v>709</v>
      </c>
      <c r="G35" s="6" t="s">
        <v>117</v>
      </c>
      <c r="H35" s="7" t="s">
        <v>118</v>
      </c>
      <c r="I35" s="50" t="str">
        <f>VLOOKUP(H35,'[1]list PIC'!C:E,2,0)</f>
        <v>Nurdianengseh</v>
      </c>
      <c r="J35" s="50" t="s">
        <v>710</v>
      </c>
      <c r="K35" s="50" t="s">
        <v>119</v>
      </c>
      <c r="L35" s="50" t="str">
        <f>VLOOKUP(K35,'[1]list PIC'!C:E,2,0)</f>
        <v>Wiwin Windarwati</v>
      </c>
      <c r="M35" s="50" t="s">
        <v>711</v>
      </c>
      <c r="N35" s="50" t="s">
        <v>34</v>
      </c>
      <c r="O35" s="51" t="str">
        <f>VLOOKUP(N35,'[1]list PIC'!C:E,2,0)</f>
        <v>Robertus Edy P</v>
      </c>
      <c r="P35" s="51" t="str">
        <f>VLOOKUP(N35,'[1]list PIC'!C:E,3,0)</f>
        <v>PROD SMGR</v>
      </c>
      <c r="Q35" s="52"/>
      <c r="R35" s="52"/>
      <c r="S35" s="52"/>
      <c r="T35" s="52"/>
      <c r="U35" s="52"/>
      <c r="V35" s="52"/>
      <c r="W35" s="52"/>
      <c r="X35" s="52"/>
      <c r="Y35" s="52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62" x14ac:dyDescent="0.35">
      <c r="A36" s="9">
        <v>34</v>
      </c>
      <c r="B36" s="106"/>
      <c r="C36" s="32" t="s">
        <v>126</v>
      </c>
      <c r="D36" s="4" t="s">
        <v>127</v>
      </c>
      <c r="E36" s="5" t="s">
        <v>20</v>
      </c>
      <c r="F36" s="6" t="s">
        <v>41</v>
      </c>
      <c r="G36" s="6" t="s">
        <v>42</v>
      </c>
      <c r="H36" s="11" t="s">
        <v>43</v>
      </c>
      <c r="I36" s="50" t="s">
        <v>692</v>
      </c>
      <c r="J36" s="11" t="s">
        <v>693</v>
      </c>
      <c r="K36" s="50" t="s">
        <v>44</v>
      </c>
      <c r="L36" s="50" t="str">
        <f>VLOOKUP(K36,'[1]list PIC'!C:E,2,0)</f>
        <v>Toni Wijaya</v>
      </c>
      <c r="M36" s="50" t="s">
        <v>694</v>
      </c>
      <c r="N36" s="50" t="s">
        <v>45</v>
      </c>
      <c r="O36" s="51" t="str">
        <f>VLOOKUP(N36,'[1]list PIC'!C:E,2,0)</f>
        <v>Evis Methawan</v>
      </c>
      <c r="P36" s="51" t="str">
        <f>VLOOKUP(N36,'[1]list PIC'!C:E,3,0)</f>
        <v>QA MGR</v>
      </c>
      <c r="Q36" s="52"/>
      <c r="R36" s="52"/>
      <c r="S36" s="52"/>
      <c r="T36" s="52"/>
      <c r="U36" s="52"/>
      <c r="V36" s="52"/>
      <c r="W36" s="52"/>
      <c r="X36" s="52"/>
      <c r="Y36" s="52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31" x14ac:dyDescent="0.35">
      <c r="A37" s="9">
        <v>35</v>
      </c>
      <c r="B37" s="106"/>
      <c r="C37" s="32" t="s">
        <v>128</v>
      </c>
      <c r="D37" s="4" t="s">
        <v>129</v>
      </c>
      <c r="E37" s="5" t="s">
        <v>37</v>
      </c>
      <c r="F37" s="6" t="s">
        <v>130</v>
      </c>
      <c r="G37" s="57" t="s">
        <v>131</v>
      </c>
      <c r="H37" s="7" t="s">
        <v>118</v>
      </c>
      <c r="I37" s="50" t="str">
        <f>VLOOKUP(H37,'[1]list PIC'!C:E,2,0)</f>
        <v>Nurdianengseh</v>
      </c>
      <c r="J37" s="50" t="s">
        <v>710</v>
      </c>
      <c r="K37" s="50" t="s">
        <v>119</v>
      </c>
      <c r="L37" s="50" t="str">
        <f>VLOOKUP(K37,'[1]list PIC'!C:E,2,0)</f>
        <v>Wiwin Windarwati</v>
      </c>
      <c r="M37" s="50" t="s">
        <v>711</v>
      </c>
      <c r="N37" s="50" t="s">
        <v>34</v>
      </c>
      <c r="O37" s="51" t="str">
        <f>VLOOKUP(N37,'[1]list PIC'!C:E,2,0)</f>
        <v>Robertus Edy P</v>
      </c>
      <c r="P37" s="51" t="str">
        <f>VLOOKUP(N37,'[1]list PIC'!C:E,3,0)</f>
        <v>PROD SMGR</v>
      </c>
      <c r="Q37" s="50" t="s">
        <v>101</v>
      </c>
      <c r="R37" s="50" t="str">
        <f>VLOOKUP(Q37,'[1]list PIC'!C:E,2,0)</f>
        <v>Arie Tri Hertati</v>
      </c>
      <c r="S37" s="50" t="str">
        <f>VLOOKUP(Q37,'[1]list PIC'!C:E,3,0)</f>
        <v>HR-IR SSPV</v>
      </c>
      <c r="T37" s="50" t="s">
        <v>71</v>
      </c>
      <c r="U37" s="50" t="str">
        <f>VLOOKUP(T37,'[1]list PIC'!C:E,2,0)</f>
        <v>Cahyo Adi Nugroho</v>
      </c>
      <c r="V37" s="50" t="str">
        <f>VLOOKUP(T37,'[1]list PIC'!C:E,3,0)</f>
        <v>PGA SMGR</v>
      </c>
      <c r="W37" s="50" t="s">
        <v>71</v>
      </c>
      <c r="X37" s="51" t="str">
        <f>VLOOKUP(W37,'[1]list PIC'!C:E,2,0)</f>
        <v>Cahyo Adi Nugroho</v>
      </c>
      <c r="Y37" s="51" t="str">
        <f>VLOOKUP(W37,'[1]list PIC'!C:E,3,0)</f>
        <v>PGA SMGR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62" x14ac:dyDescent="0.35">
      <c r="A38" s="9">
        <v>36</v>
      </c>
      <c r="B38" s="106"/>
      <c r="C38" s="33" t="s">
        <v>132</v>
      </c>
      <c r="D38" s="4" t="s">
        <v>133</v>
      </c>
      <c r="E38" s="5" t="s">
        <v>37</v>
      </c>
      <c r="F38" s="6" t="s">
        <v>699</v>
      </c>
      <c r="G38" s="6" t="s">
        <v>42</v>
      </c>
      <c r="H38" s="11" t="s">
        <v>43</v>
      </c>
      <c r="I38" s="50" t="s">
        <v>692</v>
      </c>
      <c r="J38" s="11" t="s">
        <v>693</v>
      </c>
      <c r="K38" s="50" t="s">
        <v>44</v>
      </c>
      <c r="L38" s="50" t="str">
        <f>VLOOKUP(K38,'[1]list PIC'!C:E,2,0)</f>
        <v>Toni Wijaya</v>
      </c>
      <c r="M38" s="50" t="s">
        <v>694</v>
      </c>
      <c r="N38" s="50" t="s">
        <v>45</v>
      </c>
      <c r="O38" s="51" t="str">
        <f>VLOOKUP(N38,'[1]list PIC'!C:E,2,0)</f>
        <v>Evis Methawan</v>
      </c>
      <c r="P38" s="51" t="str">
        <f>VLOOKUP(N38,'[1]list PIC'!C:E,3,0)</f>
        <v>QA MGR</v>
      </c>
      <c r="Q38" s="52"/>
      <c r="R38" s="52"/>
      <c r="S38" s="52"/>
      <c r="T38" s="52"/>
      <c r="U38" s="52"/>
      <c r="V38" s="52"/>
      <c r="W38" s="52"/>
      <c r="X38" s="52"/>
      <c r="Y38" s="52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31" x14ac:dyDescent="0.35">
      <c r="A39" s="9">
        <v>37</v>
      </c>
      <c r="B39" s="106"/>
      <c r="C39" s="33" t="s">
        <v>134</v>
      </c>
      <c r="D39" s="4" t="s">
        <v>135</v>
      </c>
      <c r="E39" s="5" t="s">
        <v>76</v>
      </c>
      <c r="F39" s="6" t="s">
        <v>709</v>
      </c>
      <c r="G39" s="6" t="s">
        <v>117</v>
      </c>
      <c r="H39" s="7" t="s">
        <v>118</v>
      </c>
      <c r="I39" s="50" t="str">
        <f>VLOOKUP(H39,'[1]list PIC'!C:E,2,0)</f>
        <v>Nurdianengseh</v>
      </c>
      <c r="J39" s="50" t="s">
        <v>710</v>
      </c>
      <c r="K39" s="50" t="s">
        <v>119</v>
      </c>
      <c r="L39" s="50" t="str">
        <f>VLOOKUP(K39,'[1]list PIC'!C:E,2,0)</f>
        <v>Wiwin Windarwati</v>
      </c>
      <c r="M39" s="50" t="s">
        <v>711</v>
      </c>
      <c r="N39" s="50" t="s">
        <v>34</v>
      </c>
      <c r="O39" s="51" t="str">
        <f>VLOOKUP(N39,'[1]list PIC'!C:E,2,0)</f>
        <v>Robertus Edy P</v>
      </c>
      <c r="P39" s="51" t="str">
        <f>VLOOKUP(N39,'[1]list PIC'!C:E,3,0)</f>
        <v>PROD SMGR</v>
      </c>
      <c r="Q39" s="52"/>
      <c r="R39" s="52"/>
      <c r="S39" s="52"/>
      <c r="T39" s="52"/>
      <c r="U39" s="52"/>
      <c r="V39" s="52"/>
      <c r="W39" s="52"/>
      <c r="X39" s="52"/>
      <c r="Y39" s="52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31" x14ac:dyDescent="0.35">
      <c r="A40" s="9">
        <v>38</v>
      </c>
      <c r="B40" s="106"/>
      <c r="C40" s="33" t="s">
        <v>136</v>
      </c>
      <c r="D40" s="4" t="s">
        <v>137</v>
      </c>
      <c r="E40" s="5" t="s">
        <v>40</v>
      </c>
      <c r="F40" s="6" t="s">
        <v>709</v>
      </c>
      <c r="G40" s="6" t="s">
        <v>117</v>
      </c>
      <c r="H40" s="7" t="s">
        <v>118</v>
      </c>
      <c r="I40" s="50" t="str">
        <f>VLOOKUP(H40,'[1]list PIC'!C:E,2,0)</f>
        <v>Nurdianengseh</v>
      </c>
      <c r="J40" s="50" t="s">
        <v>710</v>
      </c>
      <c r="K40" s="50" t="s">
        <v>119</v>
      </c>
      <c r="L40" s="50" t="str">
        <f>VLOOKUP(K40,'[1]list PIC'!C:E,2,0)</f>
        <v>Wiwin Windarwati</v>
      </c>
      <c r="M40" s="50" t="s">
        <v>711</v>
      </c>
      <c r="N40" s="50" t="s">
        <v>34</v>
      </c>
      <c r="O40" s="51" t="str">
        <f>VLOOKUP(N40,'[1]list PIC'!C:E,2,0)</f>
        <v>Robertus Edy P</v>
      </c>
      <c r="P40" s="51" t="str">
        <f>VLOOKUP(N40,'[1]list PIC'!C:E,3,0)</f>
        <v>PROD SMGR</v>
      </c>
      <c r="Q40" s="52"/>
      <c r="R40" s="52"/>
      <c r="S40" s="52"/>
      <c r="T40" s="52"/>
      <c r="U40" s="52"/>
      <c r="V40" s="52"/>
      <c r="W40" s="52"/>
      <c r="X40" s="52"/>
      <c r="Y40" s="52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31" x14ac:dyDescent="0.35">
      <c r="A41" s="9">
        <v>39</v>
      </c>
      <c r="B41" s="106"/>
      <c r="C41" s="58" t="s">
        <v>138</v>
      </c>
      <c r="D41" s="4" t="s">
        <v>139</v>
      </c>
      <c r="E41" s="5" t="s">
        <v>29</v>
      </c>
      <c r="F41" s="6" t="s">
        <v>709</v>
      </c>
      <c r="G41" s="6" t="s">
        <v>117</v>
      </c>
      <c r="H41" s="7" t="s">
        <v>118</v>
      </c>
      <c r="I41" s="50" t="str">
        <f>VLOOKUP(H41,'[1]list PIC'!C:E,2,0)</f>
        <v>Nurdianengseh</v>
      </c>
      <c r="J41" s="50" t="s">
        <v>710</v>
      </c>
      <c r="K41" s="50" t="s">
        <v>119</v>
      </c>
      <c r="L41" s="50" t="str">
        <f>VLOOKUP(K41,'[1]list PIC'!C:E,2,0)</f>
        <v>Wiwin Windarwati</v>
      </c>
      <c r="M41" s="50" t="s">
        <v>711</v>
      </c>
      <c r="N41" s="50" t="s">
        <v>34</v>
      </c>
      <c r="O41" s="51" t="str">
        <f>VLOOKUP(N41,'[1]list PIC'!C:E,2,0)</f>
        <v>Robertus Edy P</v>
      </c>
      <c r="P41" s="51" t="str">
        <f>VLOOKUP(N41,'[1]list PIC'!C:E,3,0)</f>
        <v>PROD SMGR</v>
      </c>
      <c r="Q41" s="52"/>
      <c r="R41" s="52"/>
      <c r="S41" s="52"/>
      <c r="T41" s="52"/>
      <c r="U41" s="52"/>
      <c r="V41" s="52"/>
      <c r="W41" s="52"/>
      <c r="X41" s="52"/>
      <c r="Y41" s="52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31" x14ac:dyDescent="0.35">
      <c r="A42" s="9">
        <v>40</v>
      </c>
      <c r="B42" s="106"/>
      <c r="C42" s="32" t="s">
        <v>140</v>
      </c>
      <c r="D42" s="4" t="s">
        <v>141</v>
      </c>
      <c r="E42" s="5" t="s">
        <v>29</v>
      </c>
      <c r="F42" s="6" t="s">
        <v>709</v>
      </c>
      <c r="G42" s="6" t="s">
        <v>117</v>
      </c>
      <c r="H42" s="7" t="s">
        <v>118</v>
      </c>
      <c r="I42" s="50" t="str">
        <f>VLOOKUP(H42,'[1]list PIC'!C:E,2,0)</f>
        <v>Nurdianengseh</v>
      </c>
      <c r="J42" s="50" t="s">
        <v>710</v>
      </c>
      <c r="K42" s="50" t="s">
        <v>119</v>
      </c>
      <c r="L42" s="50" t="str">
        <f>VLOOKUP(K42,'[1]list PIC'!C:E,2,0)</f>
        <v>Wiwin Windarwati</v>
      </c>
      <c r="M42" s="50" t="s">
        <v>711</v>
      </c>
      <c r="N42" s="50" t="s">
        <v>34</v>
      </c>
      <c r="O42" s="51" t="str">
        <f>VLOOKUP(N42,'[1]list PIC'!C:E,2,0)</f>
        <v>Robertus Edy P</v>
      </c>
      <c r="P42" s="51" t="str">
        <f>VLOOKUP(N42,'[1]list PIC'!C:E,3,0)</f>
        <v>PROD SMGR</v>
      </c>
      <c r="Q42" s="52"/>
      <c r="R42" s="52"/>
      <c r="S42" s="52"/>
      <c r="T42" s="52"/>
      <c r="U42" s="52"/>
      <c r="V42" s="52"/>
      <c r="W42" s="52"/>
      <c r="X42" s="52"/>
      <c r="Y42" s="52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ht="31" x14ac:dyDescent="0.35">
      <c r="A43" s="9">
        <v>41</v>
      </c>
      <c r="B43" s="106"/>
      <c r="C43" s="32" t="s">
        <v>142</v>
      </c>
      <c r="D43" s="4" t="s">
        <v>143</v>
      </c>
      <c r="E43" s="5" t="s">
        <v>29</v>
      </c>
      <c r="F43" s="6" t="s">
        <v>144</v>
      </c>
      <c r="G43" s="6" t="s">
        <v>113</v>
      </c>
      <c r="H43" s="7" t="s">
        <v>101</v>
      </c>
      <c r="I43" s="50" t="str">
        <f>VLOOKUP(H43,'[1]list PIC'!C:E,2,0)</f>
        <v>Arie Tri Hertati</v>
      </c>
      <c r="J43" s="50" t="s">
        <v>707</v>
      </c>
      <c r="K43" s="50" t="s">
        <v>71</v>
      </c>
      <c r="L43" s="50" t="str">
        <f>VLOOKUP(K43,'[1]list PIC'!C:E,2,0)</f>
        <v>Cahyo Adi Nugroho</v>
      </c>
      <c r="M43" s="50" t="s">
        <v>708</v>
      </c>
      <c r="N43" s="50" t="s">
        <v>71</v>
      </c>
      <c r="O43" s="51" t="str">
        <f>VLOOKUP(N43,'[1]list PIC'!C:E,2,0)</f>
        <v>Cahyo Adi Nugroho</v>
      </c>
      <c r="P43" s="51" t="str">
        <f>VLOOKUP(N43,'[1]list PIC'!C:E,3,0)</f>
        <v>PGA SMGR</v>
      </c>
      <c r="Q43" s="52"/>
      <c r="R43" s="52"/>
      <c r="S43" s="52"/>
      <c r="T43" s="52"/>
      <c r="U43" s="52"/>
      <c r="V43" s="52"/>
      <c r="W43" s="52"/>
      <c r="X43" s="52"/>
      <c r="Y43" s="52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ht="31" x14ac:dyDescent="0.35">
      <c r="A44" s="9">
        <v>42</v>
      </c>
      <c r="B44" s="106"/>
      <c r="C44" s="33" t="s">
        <v>145</v>
      </c>
      <c r="D44" s="4" t="s">
        <v>146</v>
      </c>
      <c r="E44" s="5" t="s">
        <v>76</v>
      </c>
      <c r="F44" s="6" t="s">
        <v>709</v>
      </c>
      <c r="G44" s="6" t="s">
        <v>117</v>
      </c>
      <c r="H44" s="7" t="s">
        <v>118</v>
      </c>
      <c r="I44" s="50" t="str">
        <f>VLOOKUP(H44,'[1]list PIC'!C:E,2,0)</f>
        <v>Nurdianengseh</v>
      </c>
      <c r="J44" s="50" t="s">
        <v>710</v>
      </c>
      <c r="K44" s="50" t="s">
        <v>119</v>
      </c>
      <c r="L44" s="50" t="str">
        <f>VLOOKUP(K44,'[1]list PIC'!C:E,2,0)</f>
        <v>Wiwin Windarwati</v>
      </c>
      <c r="M44" s="50" t="s">
        <v>711</v>
      </c>
      <c r="N44" s="50" t="s">
        <v>34</v>
      </c>
      <c r="O44" s="51" t="str">
        <f>VLOOKUP(N44,'[1]list PIC'!C:E,2,0)</f>
        <v>Robertus Edy P</v>
      </c>
      <c r="P44" s="51" t="str">
        <f>VLOOKUP(N44,'[1]list PIC'!C:E,3,0)</f>
        <v>PROD SMGR</v>
      </c>
      <c r="Q44" s="52"/>
      <c r="R44" s="52"/>
      <c r="S44" s="52"/>
      <c r="T44" s="52"/>
      <c r="U44" s="52"/>
      <c r="V44" s="52"/>
      <c r="W44" s="52"/>
      <c r="X44" s="52"/>
      <c r="Y44" s="52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ht="31" x14ac:dyDescent="0.35">
      <c r="A45" s="9">
        <v>43</v>
      </c>
      <c r="B45" s="106"/>
      <c r="C45" s="33" t="s">
        <v>147</v>
      </c>
      <c r="D45" s="4" t="s">
        <v>148</v>
      </c>
      <c r="E45" s="5" t="s">
        <v>29</v>
      </c>
      <c r="F45" s="6" t="s">
        <v>709</v>
      </c>
      <c r="G45" s="6" t="s">
        <v>117</v>
      </c>
      <c r="H45" s="7" t="s">
        <v>118</v>
      </c>
      <c r="I45" s="50" t="str">
        <f>VLOOKUP(H45,'[1]list PIC'!C:E,2,0)</f>
        <v>Nurdianengseh</v>
      </c>
      <c r="J45" s="50" t="s">
        <v>710</v>
      </c>
      <c r="K45" s="50" t="s">
        <v>119</v>
      </c>
      <c r="L45" s="50" t="str">
        <f>VLOOKUP(K45,'[1]list PIC'!C:E,2,0)</f>
        <v>Wiwin Windarwati</v>
      </c>
      <c r="M45" s="50" t="s">
        <v>711</v>
      </c>
      <c r="N45" s="50" t="s">
        <v>34</v>
      </c>
      <c r="O45" s="51" t="str">
        <f>VLOOKUP(N45,'[1]list PIC'!C:E,2,0)</f>
        <v>Robertus Edy P</v>
      </c>
      <c r="P45" s="51" t="str">
        <f>VLOOKUP(N45,'[1]list PIC'!C:E,3,0)</f>
        <v>PROD SMGR</v>
      </c>
      <c r="Q45" s="52"/>
      <c r="R45" s="52"/>
      <c r="S45" s="52"/>
      <c r="T45" s="52"/>
      <c r="U45" s="52"/>
      <c r="V45" s="52"/>
      <c r="W45" s="52"/>
      <c r="X45" s="52"/>
      <c r="Y45" s="52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ht="31" x14ac:dyDescent="0.35">
      <c r="A46" s="9">
        <v>44</v>
      </c>
      <c r="B46" s="106"/>
      <c r="C46" s="32" t="s">
        <v>149</v>
      </c>
      <c r="D46" s="6" t="s">
        <v>150</v>
      </c>
      <c r="E46" s="5">
        <v>10</v>
      </c>
      <c r="F46" s="6" t="s">
        <v>151</v>
      </c>
      <c r="G46" s="6" t="s">
        <v>152</v>
      </c>
      <c r="H46" s="7" t="s">
        <v>153</v>
      </c>
      <c r="I46" s="50" t="str">
        <f>VLOOKUP(H46,'[1]list PIC'!C:E,2,0)</f>
        <v>Lilis Setyowati</v>
      </c>
      <c r="J46" s="50" t="s">
        <v>712</v>
      </c>
      <c r="K46" s="50" t="s">
        <v>154</v>
      </c>
      <c r="L46" s="50" t="str">
        <f>VLOOKUP(K46,'[1]list PIC'!C:E,2,0)</f>
        <v>Umar Fahroni</v>
      </c>
      <c r="M46" s="50" t="s">
        <v>713</v>
      </c>
      <c r="N46" s="50" t="s">
        <v>155</v>
      </c>
      <c r="O46" s="51" t="str">
        <f>VLOOKUP(N46,'[1]list PIC'!C:E,2,0)</f>
        <v>Teguh Wicaksono</v>
      </c>
      <c r="P46" s="51" t="str">
        <f>VLOOKUP(N46,'[1]list PIC'!C:E,3,0)</f>
        <v>NYS MGR</v>
      </c>
      <c r="Q46" s="52"/>
      <c r="R46" s="52"/>
      <c r="S46" s="52"/>
      <c r="T46" s="52"/>
      <c r="U46" s="52"/>
      <c r="V46" s="52"/>
      <c r="W46" s="52"/>
      <c r="X46" s="52"/>
      <c r="Y46" s="52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31" x14ac:dyDescent="0.35">
      <c r="A47" s="9">
        <v>45</v>
      </c>
      <c r="B47" s="106"/>
      <c r="C47" s="33" t="s">
        <v>156</v>
      </c>
      <c r="D47" s="6" t="s">
        <v>157</v>
      </c>
      <c r="E47" s="5" t="s">
        <v>37</v>
      </c>
      <c r="F47" s="6" t="s">
        <v>151</v>
      </c>
      <c r="G47" s="6" t="s">
        <v>152</v>
      </c>
      <c r="H47" s="7" t="s">
        <v>153</v>
      </c>
      <c r="I47" s="50" t="str">
        <f>VLOOKUP(H47,'[1]list PIC'!C:E,2,0)</f>
        <v>Lilis Setyowati</v>
      </c>
      <c r="J47" s="50" t="s">
        <v>712</v>
      </c>
      <c r="K47" s="50" t="s">
        <v>154</v>
      </c>
      <c r="L47" s="50" t="str">
        <f>VLOOKUP(K47,'[1]list PIC'!C:E,2,0)</f>
        <v>Umar Fahroni</v>
      </c>
      <c r="M47" s="50" t="s">
        <v>713</v>
      </c>
      <c r="N47" s="50" t="s">
        <v>155</v>
      </c>
      <c r="O47" s="51" t="str">
        <f>VLOOKUP(N47,'[1]list PIC'!C:E,2,0)</f>
        <v>Teguh Wicaksono</v>
      </c>
      <c r="P47" s="51" t="str">
        <f>VLOOKUP(N47,'[1]list PIC'!C:E,3,0)</f>
        <v>NYS MGR</v>
      </c>
      <c r="Q47" s="52"/>
      <c r="R47" s="52"/>
      <c r="S47" s="52"/>
      <c r="T47" s="52"/>
      <c r="U47" s="52"/>
      <c r="V47" s="52"/>
      <c r="W47" s="52"/>
      <c r="X47" s="52"/>
      <c r="Y47" s="52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ht="31" x14ac:dyDescent="0.35">
      <c r="A48" s="9">
        <v>46</v>
      </c>
      <c r="B48" s="106"/>
      <c r="C48" s="32" t="s">
        <v>158</v>
      </c>
      <c r="D48" s="4" t="s">
        <v>159</v>
      </c>
      <c r="E48" s="5" t="s">
        <v>40</v>
      </c>
      <c r="F48" s="6" t="s">
        <v>151</v>
      </c>
      <c r="G48" s="6" t="s">
        <v>152</v>
      </c>
      <c r="H48" s="7" t="s">
        <v>153</v>
      </c>
      <c r="I48" s="50" t="str">
        <f>VLOOKUP(H48,'[1]list PIC'!C:E,2,0)</f>
        <v>Lilis Setyowati</v>
      </c>
      <c r="J48" s="50" t="s">
        <v>712</v>
      </c>
      <c r="K48" s="50" t="s">
        <v>154</v>
      </c>
      <c r="L48" s="50" t="str">
        <f>VLOOKUP(K48,'[1]list PIC'!C:E,2,0)</f>
        <v>Umar Fahroni</v>
      </c>
      <c r="M48" s="50" t="s">
        <v>713</v>
      </c>
      <c r="N48" s="50" t="s">
        <v>155</v>
      </c>
      <c r="O48" s="51" t="str">
        <f>VLOOKUP(N48,'[1]list PIC'!C:E,2,0)</f>
        <v>Teguh Wicaksono</v>
      </c>
      <c r="P48" s="51" t="str">
        <f>VLOOKUP(N48,'[1]list PIC'!C:E,3,0)</f>
        <v>NYS MGR</v>
      </c>
      <c r="Q48" s="52"/>
      <c r="R48" s="52"/>
      <c r="S48" s="52"/>
      <c r="T48" s="52"/>
      <c r="U48" s="52"/>
      <c r="V48" s="52"/>
      <c r="W48" s="52"/>
      <c r="X48" s="52"/>
      <c r="Y48" s="52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31" x14ac:dyDescent="0.35">
      <c r="A49" s="9">
        <v>47</v>
      </c>
      <c r="B49" s="106"/>
      <c r="C49" s="58" t="s">
        <v>160</v>
      </c>
      <c r="D49" s="4" t="s">
        <v>161</v>
      </c>
      <c r="E49" s="5" t="s">
        <v>29</v>
      </c>
      <c r="F49" s="6" t="s">
        <v>162</v>
      </c>
      <c r="G49" s="6" t="s">
        <v>99</v>
      </c>
      <c r="H49" s="7" t="s">
        <v>100</v>
      </c>
      <c r="I49" s="50" t="str">
        <f>VLOOKUP(H49,'[1]list PIC'!C:E,2,0)</f>
        <v>Noviasari Ika A</v>
      </c>
      <c r="J49" s="50" t="s">
        <v>706</v>
      </c>
      <c r="K49" s="50" t="s">
        <v>101</v>
      </c>
      <c r="L49" s="50" t="str">
        <f>VLOOKUP(K49,'[1]list PIC'!C:E,2,0)</f>
        <v>Arie Tri Hertati</v>
      </c>
      <c r="M49" s="50" t="s">
        <v>707</v>
      </c>
      <c r="N49" s="50" t="s">
        <v>71</v>
      </c>
      <c r="O49" s="51" t="str">
        <f>VLOOKUP(N49,'[1]list PIC'!C:E,2,0)</f>
        <v>Cahyo Adi Nugroho</v>
      </c>
      <c r="P49" s="51" t="str">
        <f>VLOOKUP(N49,'[1]list PIC'!C:E,3,0)</f>
        <v>PGA SMGR</v>
      </c>
      <c r="Q49" s="52"/>
      <c r="R49" s="52"/>
      <c r="S49" s="52"/>
      <c r="T49" s="52"/>
      <c r="U49" s="52"/>
      <c r="V49" s="52"/>
      <c r="W49" s="52"/>
      <c r="X49" s="52"/>
      <c r="Y49" s="52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ht="31" x14ac:dyDescent="0.35">
      <c r="A50" s="9">
        <v>48</v>
      </c>
      <c r="B50" s="106"/>
      <c r="C50" s="58" t="s">
        <v>163</v>
      </c>
      <c r="D50" s="4" t="s">
        <v>164</v>
      </c>
      <c r="E50" s="5" t="s">
        <v>29</v>
      </c>
      <c r="F50" s="6" t="s">
        <v>709</v>
      </c>
      <c r="G50" s="6" t="s">
        <v>117</v>
      </c>
      <c r="H50" s="7" t="s">
        <v>118</v>
      </c>
      <c r="I50" s="50" t="str">
        <f>VLOOKUP(H50,'[1]list PIC'!C:E,2,0)</f>
        <v>Nurdianengseh</v>
      </c>
      <c r="J50" s="50" t="s">
        <v>710</v>
      </c>
      <c r="K50" s="50" t="s">
        <v>119</v>
      </c>
      <c r="L50" s="50" t="str">
        <f>VLOOKUP(K50,'[1]list PIC'!C:E,2,0)</f>
        <v>Wiwin Windarwati</v>
      </c>
      <c r="M50" s="50" t="s">
        <v>711</v>
      </c>
      <c r="N50" s="50" t="s">
        <v>34</v>
      </c>
      <c r="O50" s="51" t="str">
        <f>VLOOKUP(N50,'[1]list PIC'!C:E,2,0)</f>
        <v>Robertus Edy P</v>
      </c>
      <c r="P50" s="51" t="str">
        <f>VLOOKUP(N50,'[1]list PIC'!C:E,3,0)</f>
        <v>PROD SMGR</v>
      </c>
      <c r="Q50" s="52"/>
      <c r="R50" s="52"/>
      <c r="S50" s="52"/>
      <c r="T50" s="52"/>
      <c r="U50" s="52"/>
      <c r="V50" s="52"/>
      <c r="W50" s="52"/>
      <c r="X50" s="52"/>
      <c r="Y50" s="52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ht="31" x14ac:dyDescent="0.35">
      <c r="A51" s="9">
        <v>49</v>
      </c>
      <c r="B51" s="106"/>
      <c r="C51" s="58" t="s">
        <v>165</v>
      </c>
      <c r="D51" s="4" t="s">
        <v>166</v>
      </c>
      <c r="E51" s="5" t="s">
        <v>29</v>
      </c>
      <c r="F51" s="6" t="s">
        <v>709</v>
      </c>
      <c r="G51" s="6" t="s">
        <v>117</v>
      </c>
      <c r="H51" s="7" t="s">
        <v>118</v>
      </c>
      <c r="I51" s="50" t="str">
        <f>VLOOKUP(H51,'[1]list PIC'!C:E,2,0)</f>
        <v>Nurdianengseh</v>
      </c>
      <c r="J51" s="50" t="s">
        <v>710</v>
      </c>
      <c r="K51" s="50" t="s">
        <v>119</v>
      </c>
      <c r="L51" s="50" t="str">
        <f>VLOOKUP(K51,'[1]list PIC'!C:E,2,0)</f>
        <v>Wiwin Windarwati</v>
      </c>
      <c r="M51" s="50" t="s">
        <v>711</v>
      </c>
      <c r="N51" s="50" t="s">
        <v>34</v>
      </c>
      <c r="O51" s="51" t="str">
        <f>VLOOKUP(N51,'[1]list PIC'!C:E,2,0)</f>
        <v>Robertus Edy P</v>
      </c>
      <c r="P51" s="51" t="str">
        <f>VLOOKUP(N51,'[1]list PIC'!C:E,3,0)</f>
        <v>PROD SMGR</v>
      </c>
      <c r="Q51" s="52"/>
      <c r="R51" s="52"/>
      <c r="S51" s="52"/>
      <c r="T51" s="52"/>
      <c r="U51" s="52"/>
      <c r="V51" s="52"/>
      <c r="W51" s="52"/>
      <c r="X51" s="52"/>
      <c r="Y51" s="52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ht="31" x14ac:dyDescent="0.35">
      <c r="A52" s="9">
        <v>50</v>
      </c>
      <c r="B52" s="106"/>
      <c r="C52" s="58" t="s">
        <v>167</v>
      </c>
      <c r="D52" s="4" t="s">
        <v>168</v>
      </c>
      <c r="E52" s="5" t="s">
        <v>29</v>
      </c>
      <c r="F52" s="6" t="s">
        <v>144</v>
      </c>
      <c r="G52" s="6" t="s">
        <v>113</v>
      </c>
      <c r="H52" s="7" t="s">
        <v>100</v>
      </c>
      <c r="I52" s="50" t="str">
        <f>VLOOKUP(H52,'[1]list PIC'!C:E,2,0)</f>
        <v>Noviasari Ika A</v>
      </c>
      <c r="J52" s="50" t="s">
        <v>706</v>
      </c>
      <c r="K52" s="50" t="s">
        <v>101</v>
      </c>
      <c r="L52" s="50" t="str">
        <f>VLOOKUP(K52,'[1]list PIC'!C:E,2,0)</f>
        <v>Arie Tri Hertati</v>
      </c>
      <c r="M52" s="50" t="s">
        <v>707</v>
      </c>
      <c r="N52" s="50" t="s">
        <v>71</v>
      </c>
      <c r="O52" s="51" t="str">
        <f>VLOOKUP(N52,'[1]list PIC'!C:E,2,0)</f>
        <v>Cahyo Adi Nugroho</v>
      </c>
      <c r="P52" s="51" t="str">
        <f>VLOOKUP(N52,'[1]list PIC'!C:E,3,0)</f>
        <v>PGA SMGR</v>
      </c>
      <c r="Q52" s="52"/>
      <c r="R52" s="52"/>
      <c r="S52" s="52"/>
      <c r="T52" s="52"/>
      <c r="U52" s="52"/>
      <c r="V52" s="52"/>
      <c r="W52" s="52"/>
      <c r="X52" s="52"/>
      <c r="Y52" s="52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ht="31" x14ac:dyDescent="0.35">
      <c r="A53" s="9">
        <v>51</v>
      </c>
      <c r="B53" s="106"/>
      <c r="C53" s="33" t="s">
        <v>169</v>
      </c>
      <c r="D53" s="6" t="s">
        <v>170</v>
      </c>
      <c r="E53" s="5" t="s">
        <v>29</v>
      </c>
      <c r="F53" s="6" t="s">
        <v>162</v>
      </c>
      <c r="G53" s="6" t="s">
        <v>99</v>
      </c>
      <c r="H53" s="7" t="s">
        <v>100</v>
      </c>
      <c r="I53" s="50" t="str">
        <f>VLOOKUP(H53,'[1]list PIC'!C:E,2,0)</f>
        <v>Noviasari Ika A</v>
      </c>
      <c r="J53" s="50" t="s">
        <v>706</v>
      </c>
      <c r="K53" s="50" t="s">
        <v>101</v>
      </c>
      <c r="L53" s="50" t="str">
        <f>VLOOKUP(K53,'[1]list PIC'!C:E,2,0)</f>
        <v>Arie Tri Hertati</v>
      </c>
      <c r="M53" s="50" t="s">
        <v>707</v>
      </c>
      <c r="N53" s="50" t="s">
        <v>71</v>
      </c>
      <c r="O53" s="51" t="str">
        <f>VLOOKUP(N53,'[1]list PIC'!C:E,2,0)</f>
        <v>Cahyo Adi Nugroho</v>
      </c>
      <c r="P53" s="51" t="str">
        <f>VLOOKUP(N53,'[1]list PIC'!C:E,3,0)</f>
        <v>PGA SMGR</v>
      </c>
      <c r="Q53" s="52"/>
      <c r="R53" s="52"/>
      <c r="S53" s="52"/>
      <c r="T53" s="52"/>
      <c r="U53" s="52"/>
      <c r="V53" s="52"/>
      <c r="W53" s="52"/>
      <c r="X53" s="52"/>
      <c r="Y53" s="52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ht="31" x14ac:dyDescent="0.35">
      <c r="A54" s="9">
        <v>52</v>
      </c>
      <c r="B54" s="107"/>
      <c r="C54" s="33" t="s">
        <v>171</v>
      </c>
      <c r="D54" s="4" t="s">
        <v>172</v>
      </c>
      <c r="E54" s="5" t="s">
        <v>20</v>
      </c>
      <c r="F54" s="6" t="s">
        <v>173</v>
      </c>
      <c r="G54" s="6" t="s">
        <v>174</v>
      </c>
      <c r="H54" s="7" t="s">
        <v>175</v>
      </c>
      <c r="I54" s="50" t="str">
        <f>VLOOKUP(H54,'[1]list PIC'!C:E,2,0)</f>
        <v>Hendy Mustika Adi</v>
      </c>
      <c r="J54" s="50" t="s">
        <v>714</v>
      </c>
      <c r="K54" s="50" t="s">
        <v>71</v>
      </c>
      <c r="L54" s="50" t="str">
        <f>VLOOKUP(K54,'[1]list PIC'!C:E,2,0)</f>
        <v>Cahyo Adi Nugroho</v>
      </c>
      <c r="M54" s="50" t="s">
        <v>708</v>
      </c>
      <c r="N54" s="50" t="s">
        <v>71</v>
      </c>
      <c r="O54" s="51" t="str">
        <f>VLOOKUP(N54,'[1]list PIC'!C:E,2,0)</f>
        <v>Cahyo Adi Nugroho</v>
      </c>
      <c r="P54" s="51" t="str">
        <f>VLOOKUP(N54,'[1]list PIC'!C:E,3,0)</f>
        <v>PGA SMGR</v>
      </c>
      <c r="Q54" s="52"/>
      <c r="R54" s="52"/>
      <c r="S54" s="52"/>
      <c r="T54" s="52"/>
      <c r="U54" s="52"/>
      <c r="V54" s="52"/>
      <c r="W54" s="52"/>
      <c r="X54" s="52"/>
      <c r="Y54" s="52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ht="31" x14ac:dyDescent="0.35">
      <c r="A55" s="9">
        <v>53</v>
      </c>
      <c r="B55" s="53" t="s">
        <v>715</v>
      </c>
      <c r="C55" s="33" t="s">
        <v>176</v>
      </c>
      <c r="D55" s="4" t="s">
        <v>177</v>
      </c>
      <c r="E55" s="5" t="s">
        <v>178</v>
      </c>
      <c r="F55" s="4" t="s">
        <v>179</v>
      </c>
      <c r="G55" s="6" t="s">
        <v>180</v>
      </c>
      <c r="H55" s="7" t="s">
        <v>181</v>
      </c>
      <c r="I55" s="50" t="str">
        <f>VLOOKUP(H55,'[1]list PIC'!C:E,2,0)</f>
        <v>Lita Darmawanti</v>
      </c>
      <c r="J55" s="50" t="s">
        <v>716</v>
      </c>
      <c r="K55" s="50" t="s">
        <v>34</v>
      </c>
      <c r="L55" s="50" t="str">
        <f>VLOOKUP(K55,'[1]list PIC'!C:E,2,0)</f>
        <v>Robertus Edy P</v>
      </c>
      <c r="M55" s="50" t="s">
        <v>717</v>
      </c>
      <c r="N55" s="50" t="s">
        <v>34</v>
      </c>
      <c r="O55" s="51" t="str">
        <f>VLOOKUP(N55,'[1]list PIC'!C:E,2,0)</f>
        <v>Robertus Edy P</v>
      </c>
      <c r="P55" s="51" t="str">
        <f>VLOOKUP(N55,'[1]list PIC'!C:E,3,0)</f>
        <v>PROD SMGR</v>
      </c>
      <c r="Q55" s="52"/>
      <c r="R55" s="52"/>
      <c r="S55" s="52"/>
      <c r="T55" s="52"/>
      <c r="U55" s="52"/>
      <c r="V55" s="52"/>
      <c r="W55" s="52"/>
      <c r="X55" s="52"/>
      <c r="Y55" s="52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ht="31" x14ac:dyDescent="0.35">
      <c r="A56" s="9">
        <v>54</v>
      </c>
      <c r="B56" s="105" t="s">
        <v>718</v>
      </c>
      <c r="C56" s="33" t="s">
        <v>182</v>
      </c>
      <c r="D56" s="6" t="s">
        <v>183</v>
      </c>
      <c r="E56" s="5" t="s">
        <v>37</v>
      </c>
      <c r="F56" s="4" t="s">
        <v>179</v>
      </c>
      <c r="G56" s="6" t="s">
        <v>180</v>
      </c>
      <c r="H56" s="7" t="s">
        <v>181</v>
      </c>
      <c r="I56" s="50" t="str">
        <f>VLOOKUP(H56,'[1]list PIC'!C:E,2,0)</f>
        <v>Lita Darmawanti</v>
      </c>
      <c r="J56" s="50" t="s">
        <v>716</v>
      </c>
      <c r="K56" s="50" t="s">
        <v>34</v>
      </c>
      <c r="L56" s="50" t="str">
        <f>VLOOKUP(K56,'[1]list PIC'!C:E,2,0)</f>
        <v>Robertus Edy P</v>
      </c>
      <c r="M56" s="50" t="s">
        <v>717</v>
      </c>
      <c r="N56" s="50" t="s">
        <v>34</v>
      </c>
      <c r="O56" s="51" t="str">
        <f>VLOOKUP(N56,'[1]list PIC'!C:E,2,0)</f>
        <v>Robertus Edy P</v>
      </c>
      <c r="P56" s="51" t="str">
        <f>VLOOKUP(N56,'[1]list PIC'!C:E,3,0)</f>
        <v>PROD SMGR</v>
      </c>
      <c r="Q56" s="52"/>
      <c r="R56" s="52"/>
      <c r="S56" s="52"/>
      <c r="T56" s="52"/>
      <c r="U56" s="52"/>
      <c r="V56" s="52"/>
      <c r="W56" s="52"/>
      <c r="X56" s="52"/>
      <c r="Y56" s="52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ht="31" x14ac:dyDescent="0.35">
      <c r="A57" s="9">
        <v>55</v>
      </c>
      <c r="B57" s="106"/>
      <c r="C57" s="59" t="s">
        <v>184</v>
      </c>
      <c r="D57" s="4" t="s">
        <v>185</v>
      </c>
      <c r="E57" s="5" t="s">
        <v>40</v>
      </c>
      <c r="F57" s="4" t="s">
        <v>179</v>
      </c>
      <c r="G57" s="6" t="s">
        <v>180</v>
      </c>
      <c r="H57" s="7" t="s">
        <v>181</v>
      </c>
      <c r="I57" s="50" t="str">
        <f>VLOOKUP(H57,'[1]list PIC'!C:E,2,0)</f>
        <v>Lita Darmawanti</v>
      </c>
      <c r="J57" s="50" t="s">
        <v>716</v>
      </c>
      <c r="K57" s="50" t="s">
        <v>34</v>
      </c>
      <c r="L57" s="50" t="str">
        <f>VLOOKUP(K57,'[1]list PIC'!C:E,2,0)</f>
        <v>Robertus Edy P</v>
      </c>
      <c r="M57" s="50" t="s">
        <v>717</v>
      </c>
      <c r="N57" s="50" t="s">
        <v>34</v>
      </c>
      <c r="O57" s="51" t="str">
        <f>VLOOKUP(N57,'[1]list PIC'!C:E,2,0)</f>
        <v>Robertus Edy P</v>
      </c>
      <c r="P57" s="51" t="str">
        <f>VLOOKUP(N57,'[1]list PIC'!C:E,3,0)</f>
        <v>PROD SMGR</v>
      </c>
      <c r="Q57" s="52"/>
      <c r="R57" s="52"/>
      <c r="S57" s="52"/>
      <c r="T57" s="52"/>
      <c r="U57" s="52"/>
      <c r="V57" s="52"/>
      <c r="W57" s="52"/>
      <c r="X57" s="52"/>
      <c r="Y57" s="52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ht="31" x14ac:dyDescent="0.35">
      <c r="A58" s="9">
        <v>56</v>
      </c>
      <c r="B58" s="106"/>
      <c r="C58" s="59" t="s">
        <v>186</v>
      </c>
      <c r="D58" s="4" t="s">
        <v>187</v>
      </c>
      <c r="E58" s="5" t="s">
        <v>40</v>
      </c>
      <c r="F58" s="4" t="s">
        <v>179</v>
      </c>
      <c r="G58" s="6" t="s">
        <v>180</v>
      </c>
      <c r="H58" s="7" t="s">
        <v>181</v>
      </c>
      <c r="I58" s="50" t="str">
        <f>VLOOKUP(H58,'[1]list PIC'!C:E,2,0)</f>
        <v>Lita Darmawanti</v>
      </c>
      <c r="J58" s="50" t="s">
        <v>716</v>
      </c>
      <c r="K58" s="50" t="s">
        <v>34</v>
      </c>
      <c r="L58" s="50" t="str">
        <f>VLOOKUP(K58,'[1]list PIC'!C:E,2,0)</f>
        <v>Robertus Edy P</v>
      </c>
      <c r="M58" s="50" t="s">
        <v>717</v>
      </c>
      <c r="N58" s="50" t="s">
        <v>34</v>
      </c>
      <c r="O58" s="51" t="str">
        <f>VLOOKUP(N58,'[1]list PIC'!C:E,2,0)</f>
        <v>Robertus Edy P</v>
      </c>
      <c r="P58" s="51" t="str">
        <f>VLOOKUP(N58,'[1]list PIC'!C:E,3,0)</f>
        <v>PROD SMGR</v>
      </c>
      <c r="Q58" s="52"/>
      <c r="R58" s="52"/>
      <c r="S58" s="52"/>
      <c r="T58" s="52"/>
      <c r="U58" s="52"/>
      <c r="V58" s="52"/>
      <c r="W58" s="52"/>
      <c r="X58" s="52"/>
      <c r="Y58" s="52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ht="31" x14ac:dyDescent="0.35">
      <c r="A59" s="9">
        <v>57</v>
      </c>
      <c r="B59" s="106"/>
      <c r="C59" s="32" t="s">
        <v>188</v>
      </c>
      <c r="D59" s="4" t="s">
        <v>189</v>
      </c>
      <c r="E59" s="5" t="s">
        <v>76</v>
      </c>
      <c r="F59" s="6" t="s">
        <v>190</v>
      </c>
      <c r="G59" s="6" t="s">
        <v>191</v>
      </c>
      <c r="H59" s="7" t="s">
        <v>89</v>
      </c>
      <c r="I59" s="50" t="str">
        <f>VLOOKUP(H59,'[1]list PIC'!C:E,2,0)</f>
        <v>Vinny Rahmawati</v>
      </c>
      <c r="J59" s="50" t="s">
        <v>702</v>
      </c>
      <c r="K59" s="56" t="s">
        <v>90</v>
      </c>
      <c r="L59" s="50" t="str">
        <f>VLOOKUP(K59,'[1]list PIC'!C:E,2,0)</f>
        <v>Kholiq Imam W</v>
      </c>
      <c r="M59" s="50" t="s">
        <v>719</v>
      </c>
      <c r="N59" s="56" t="s">
        <v>90</v>
      </c>
      <c r="O59" s="51" t="str">
        <f>VLOOKUP(N59,'[1]list PIC'!C:E,2,0)</f>
        <v>Kholiq Imam W</v>
      </c>
      <c r="P59" s="51" t="str">
        <f>VLOOKUP(N59,'[1]list PIC'!C:E,3,0)</f>
        <v>MTC MGR</v>
      </c>
      <c r="Q59" s="52"/>
      <c r="R59" s="52"/>
      <c r="S59" s="52"/>
      <c r="T59" s="52"/>
      <c r="U59" s="52"/>
      <c r="V59" s="52"/>
      <c r="W59" s="52"/>
      <c r="X59" s="52"/>
      <c r="Y59" s="52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ht="15.5" x14ac:dyDescent="0.35">
      <c r="A60" s="9">
        <v>58</v>
      </c>
      <c r="B60" s="106"/>
      <c r="C60" s="32" t="s">
        <v>192</v>
      </c>
      <c r="D60" s="4" t="s">
        <v>193</v>
      </c>
      <c r="E60" s="5" t="s">
        <v>194</v>
      </c>
      <c r="F60" s="6" t="s">
        <v>190</v>
      </c>
      <c r="G60" s="6" t="s">
        <v>195</v>
      </c>
      <c r="H60" s="7" t="s">
        <v>196</v>
      </c>
      <c r="I60" s="50" t="str">
        <f>VLOOKUP(H60,'[1]list PIC'!C:E,2,0)</f>
        <v>Catur Haryoko</v>
      </c>
      <c r="J60" s="50" t="str">
        <f>VLOOKUP(H60,'[1]list PIC'!C:E,3,0)</f>
        <v>DE SPV</v>
      </c>
      <c r="K60" s="50" t="s">
        <v>90</v>
      </c>
      <c r="L60" s="50" t="str">
        <f>VLOOKUP(K60,'[1]list PIC'!C:E,2,0)</f>
        <v>Kholiq Imam W</v>
      </c>
      <c r="M60" s="50" t="str">
        <f>VLOOKUP(K60,'[1]list PIC'!C:E,3,0)</f>
        <v>MTC MGR</v>
      </c>
      <c r="N60" s="50" t="s">
        <v>90</v>
      </c>
      <c r="O60" s="51" t="str">
        <f>VLOOKUP(N60,'[1]list PIC'!C:E,2,0)</f>
        <v>Kholiq Imam W</v>
      </c>
      <c r="P60" s="51" t="str">
        <f>VLOOKUP(N60,'[1]list PIC'!C:E,3,0)</f>
        <v>MTC MGR</v>
      </c>
      <c r="Q60" s="52"/>
      <c r="R60" s="52"/>
      <c r="S60" s="52"/>
      <c r="T60" s="52"/>
      <c r="U60" s="52"/>
      <c r="V60" s="52"/>
      <c r="W60" s="52"/>
      <c r="X60" s="52"/>
      <c r="Y60" s="52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ht="15.5" x14ac:dyDescent="0.35">
      <c r="A61" s="9">
        <v>59</v>
      </c>
      <c r="B61" s="106"/>
      <c r="C61" s="33" t="s">
        <v>197</v>
      </c>
      <c r="D61" s="4" t="s">
        <v>198</v>
      </c>
      <c r="E61" s="5" t="s">
        <v>194</v>
      </c>
      <c r="F61" s="6" t="s">
        <v>199</v>
      </c>
      <c r="G61" s="57" t="s">
        <v>200</v>
      </c>
      <c r="H61" s="7" t="s">
        <v>79</v>
      </c>
      <c r="I61" s="50" t="str">
        <f>VLOOKUP(H61,'[1]list PIC'!C:E,2,0)</f>
        <v>Atiek Sriwahyuni</v>
      </c>
      <c r="J61" s="50" t="s">
        <v>698</v>
      </c>
      <c r="K61" s="50" t="s">
        <v>44</v>
      </c>
      <c r="L61" s="50" t="str">
        <f>VLOOKUP(K61,'[1]list PIC'!C:E,2,0)</f>
        <v>Toni Wijaya</v>
      </c>
      <c r="M61" s="50" t="s">
        <v>694</v>
      </c>
      <c r="N61" s="50" t="s">
        <v>45</v>
      </c>
      <c r="O61" s="51" t="str">
        <f>VLOOKUP(N61,'[1]list PIC'!C:E,2,0)</f>
        <v>Evis Methawan</v>
      </c>
      <c r="P61" s="51" t="str">
        <f>VLOOKUP(N61,'[1]list PIC'!C:E,3,0)</f>
        <v>QA MGR</v>
      </c>
      <c r="Q61" s="52"/>
      <c r="R61" s="52"/>
      <c r="S61" s="52"/>
      <c r="T61" s="52"/>
      <c r="U61" s="52"/>
      <c r="V61" s="52"/>
      <c r="W61" s="52"/>
      <c r="X61" s="52"/>
      <c r="Y61" s="52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ht="62" x14ac:dyDescent="0.35">
      <c r="A62" s="9">
        <v>60</v>
      </c>
      <c r="B62" s="106"/>
      <c r="C62" s="60" t="s">
        <v>201</v>
      </c>
      <c r="D62" s="6" t="s">
        <v>202</v>
      </c>
      <c r="E62" s="5">
        <v>14</v>
      </c>
      <c r="F62" s="6" t="s">
        <v>699</v>
      </c>
      <c r="G62" s="6" t="s">
        <v>42</v>
      </c>
      <c r="H62" s="11" t="s">
        <v>43</v>
      </c>
      <c r="I62" s="50" t="s">
        <v>692</v>
      </c>
      <c r="J62" s="11" t="s">
        <v>693</v>
      </c>
      <c r="K62" s="50" t="s">
        <v>44</v>
      </c>
      <c r="L62" s="50" t="str">
        <f>VLOOKUP(K62,'[1]list PIC'!C:E,2,0)</f>
        <v>Toni Wijaya</v>
      </c>
      <c r="M62" s="50" t="s">
        <v>694</v>
      </c>
      <c r="N62" s="50" t="s">
        <v>45</v>
      </c>
      <c r="O62" s="51" t="str">
        <f>VLOOKUP(N62,'[1]list PIC'!C:E,2,0)</f>
        <v>Evis Methawan</v>
      </c>
      <c r="P62" s="51" t="str">
        <f>VLOOKUP(N62,'[1]list PIC'!C:E,3,0)</f>
        <v>QA MGR</v>
      </c>
      <c r="Q62" s="52"/>
      <c r="R62" s="52"/>
      <c r="S62" s="52"/>
      <c r="T62" s="52"/>
      <c r="U62" s="52"/>
      <c r="V62" s="52"/>
      <c r="W62" s="52"/>
      <c r="X62" s="52"/>
      <c r="Y62" s="52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ht="62" x14ac:dyDescent="0.35">
      <c r="A63" s="9">
        <v>61</v>
      </c>
      <c r="B63" s="106"/>
      <c r="C63" s="60" t="s">
        <v>203</v>
      </c>
      <c r="D63" s="6" t="s">
        <v>204</v>
      </c>
      <c r="E63" s="5">
        <v>12</v>
      </c>
      <c r="F63" s="6" t="s">
        <v>699</v>
      </c>
      <c r="G63" s="6" t="s">
        <v>42</v>
      </c>
      <c r="H63" s="11" t="s">
        <v>43</v>
      </c>
      <c r="I63" s="50" t="s">
        <v>692</v>
      </c>
      <c r="J63" s="11" t="s">
        <v>693</v>
      </c>
      <c r="K63" s="50" t="s">
        <v>44</v>
      </c>
      <c r="L63" s="50" t="str">
        <f>VLOOKUP(K63,'[1]list PIC'!C:E,2,0)</f>
        <v>Toni Wijaya</v>
      </c>
      <c r="M63" s="50" t="s">
        <v>694</v>
      </c>
      <c r="N63" s="50" t="s">
        <v>45</v>
      </c>
      <c r="O63" s="51" t="str">
        <f>VLOOKUP(N63,'[1]list PIC'!C:E,2,0)</f>
        <v>Evis Methawan</v>
      </c>
      <c r="P63" s="51" t="str">
        <f>VLOOKUP(N63,'[1]list PIC'!C:E,3,0)</f>
        <v>QA MGR</v>
      </c>
      <c r="Q63" s="52"/>
      <c r="R63" s="52"/>
      <c r="S63" s="52"/>
      <c r="T63" s="52"/>
      <c r="U63" s="52"/>
      <c r="V63" s="52"/>
      <c r="W63" s="52"/>
      <c r="X63" s="52"/>
      <c r="Y63" s="52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ht="31" x14ac:dyDescent="0.35">
      <c r="A64" s="9">
        <v>62</v>
      </c>
      <c r="B64" s="106"/>
      <c r="C64" s="59" t="s">
        <v>205</v>
      </c>
      <c r="D64" s="4" t="s">
        <v>206</v>
      </c>
      <c r="E64" s="20">
        <v>0</v>
      </c>
      <c r="F64" s="4" t="s">
        <v>179</v>
      </c>
      <c r="G64" s="6" t="s">
        <v>180</v>
      </c>
      <c r="H64" s="7" t="s">
        <v>181</v>
      </c>
      <c r="I64" s="50" t="str">
        <f>VLOOKUP(H64,'[1]list PIC'!C:E,2,0)</f>
        <v>Lita Darmawanti</v>
      </c>
      <c r="J64" s="50" t="s">
        <v>716</v>
      </c>
      <c r="K64" s="50" t="s">
        <v>34</v>
      </c>
      <c r="L64" s="50" t="str">
        <f>VLOOKUP(K64,'[1]list PIC'!C:E,2,0)</f>
        <v>Robertus Edy P</v>
      </c>
      <c r="M64" s="50" t="s">
        <v>717</v>
      </c>
      <c r="N64" s="50" t="s">
        <v>34</v>
      </c>
      <c r="O64" s="51" t="str">
        <f>VLOOKUP(N64,'[1]list PIC'!C:E,2,0)</f>
        <v>Robertus Edy P</v>
      </c>
      <c r="P64" s="51" t="str">
        <f>VLOOKUP(N64,'[1]list PIC'!C:E,3,0)</f>
        <v>PROD SMGR</v>
      </c>
      <c r="Q64" s="52"/>
      <c r="R64" s="52"/>
      <c r="S64" s="52"/>
      <c r="T64" s="52"/>
      <c r="U64" s="52"/>
      <c r="V64" s="52"/>
      <c r="W64" s="52"/>
      <c r="X64" s="52"/>
      <c r="Y64" s="52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ht="62" x14ac:dyDescent="0.35">
      <c r="A65" s="9">
        <v>63</v>
      </c>
      <c r="B65" s="106"/>
      <c r="C65" s="32" t="s">
        <v>207</v>
      </c>
      <c r="D65" s="4" t="s">
        <v>208</v>
      </c>
      <c r="E65" s="5" t="s">
        <v>29</v>
      </c>
      <c r="F65" s="6" t="s">
        <v>41</v>
      </c>
      <c r="G65" s="6" t="s">
        <v>42</v>
      </c>
      <c r="H65" s="11" t="s">
        <v>43</v>
      </c>
      <c r="I65" s="50" t="s">
        <v>692</v>
      </c>
      <c r="J65" s="11" t="s">
        <v>693</v>
      </c>
      <c r="K65" s="50" t="s">
        <v>44</v>
      </c>
      <c r="L65" s="50" t="str">
        <f>VLOOKUP(K65,'[1]list PIC'!C:E,2,0)</f>
        <v>Toni Wijaya</v>
      </c>
      <c r="M65" s="50" t="s">
        <v>694</v>
      </c>
      <c r="N65" s="50" t="s">
        <v>45</v>
      </c>
      <c r="O65" s="51" t="str">
        <f>VLOOKUP(N65,'[1]list PIC'!C:E,2,0)</f>
        <v>Evis Methawan</v>
      </c>
      <c r="P65" s="51" t="str">
        <f>VLOOKUP(N65,'[1]list PIC'!C:E,3,0)</f>
        <v>QA MGR</v>
      </c>
      <c r="Q65" s="52"/>
      <c r="R65" s="52"/>
      <c r="S65" s="52"/>
      <c r="T65" s="52"/>
      <c r="U65" s="52"/>
      <c r="V65" s="52"/>
      <c r="W65" s="52"/>
      <c r="X65" s="52"/>
      <c r="Y65" s="52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ht="31" x14ac:dyDescent="0.35">
      <c r="A66" s="9">
        <v>64</v>
      </c>
      <c r="B66" s="106"/>
      <c r="C66" s="33" t="s">
        <v>209</v>
      </c>
      <c r="D66" s="4" t="s">
        <v>210</v>
      </c>
      <c r="E66" s="5" t="s">
        <v>20</v>
      </c>
      <c r="F66" s="4" t="s">
        <v>211</v>
      </c>
      <c r="G66" s="6" t="s">
        <v>212</v>
      </c>
      <c r="H66" s="7" t="s">
        <v>213</v>
      </c>
      <c r="I66" s="50" t="str">
        <f>VLOOKUP(H66,'[1]list PIC'!C:E,2,0)</f>
        <v>Afianty Mardiana</v>
      </c>
      <c r="J66" s="50" t="s">
        <v>720</v>
      </c>
      <c r="K66" s="50" t="s">
        <v>155</v>
      </c>
      <c r="L66" s="50" t="str">
        <f>VLOOKUP(K66,'[1]list PIC'!C:E,2,0)</f>
        <v>Teguh Wicaksono</v>
      </c>
      <c r="M66" s="50" t="s">
        <v>721</v>
      </c>
      <c r="N66" s="50" t="s">
        <v>155</v>
      </c>
      <c r="O66" s="51" t="str">
        <f>VLOOKUP(N66,'[1]list PIC'!C:E,2,0)</f>
        <v>Teguh Wicaksono</v>
      </c>
      <c r="P66" s="51" t="str">
        <f>VLOOKUP(N66,'[1]list PIC'!C:E,3,0)</f>
        <v>NYS MGR</v>
      </c>
      <c r="Q66" s="52"/>
      <c r="R66" s="52"/>
      <c r="S66" s="52"/>
      <c r="T66" s="52"/>
      <c r="U66" s="52"/>
      <c r="V66" s="52"/>
      <c r="W66" s="52"/>
      <c r="X66" s="52"/>
      <c r="Y66" s="52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ht="31" x14ac:dyDescent="0.35">
      <c r="A67" s="9">
        <v>65</v>
      </c>
      <c r="B67" s="106"/>
      <c r="C67" s="33" t="s">
        <v>214</v>
      </c>
      <c r="D67" s="4" t="s">
        <v>215</v>
      </c>
      <c r="E67" s="5" t="s">
        <v>29</v>
      </c>
      <c r="F67" s="4" t="s">
        <v>211</v>
      </c>
      <c r="G67" s="6" t="s">
        <v>212</v>
      </c>
      <c r="H67" s="7" t="s">
        <v>213</v>
      </c>
      <c r="I67" s="50" t="str">
        <f>VLOOKUP(H67,'[1]list PIC'!C:E,2,0)</f>
        <v>Afianty Mardiana</v>
      </c>
      <c r="J67" s="50" t="s">
        <v>720</v>
      </c>
      <c r="K67" s="50" t="s">
        <v>155</v>
      </c>
      <c r="L67" s="50" t="str">
        <f>VLOOKUP(K67,'[1]list PIC'!C:E,2,0)</f>
        <v>Teguh Wicaksono</v>
      </c>
      <c r="M67" s="50" t="s">
        <v>721</v>
      </c>
      <c r="N67" s="50" t="s">
        <v>155</v>
      </c>
      <c r="O67" s="51" t="str">
        <f>VLOOKUP(N67,'[1]list PIC'!C:E,2,0)</f>
        <v>Teguh Wicaksono</v>
      </c>
      <c r="P67" s="51" t="str">
        <f>VLOOKUP(N67,'[1]list PIC'!C:E,3,0)</f>
        <v>NYS MGR</v>
      </c>
      <c r="Q67" s="52"/>
      <c r="R67" s="52"/>
      <c r="S67" s="52"/>
      <c r="T67" s="52"/>
      <c r="U67" s="52"/>
      <c r="V67" s="52"/>
      <c r="W67" s="52"/>
      <c r="X67" s="52"/>
      <c r="Y67" s="52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ht="62" x14ac:dyDescent="0.35">
      <c r="A68" s="9">
        <v>66</v>
      </c>
      <c r="B68" s="106"/>
      <c r="C68" s="33" t="s">
        <v>216</v>
      </c>
      <c r="D68" s="6" t="s">
        <v>217</v>
      </c>
      <c r="E68" s="5" t="s">
        <v>23</v>
      </c>
      <c r="F68" s="6" t="s">
        <v>41</v>
      </c>
      <c r="G68" s="6" t="s">
        <v>42</v>
      </c>
      <c r="H68" s="11" t="s">
        <v>43</v>
      </c>
      <c r="I68" s="50" t="s">
        <v>692</v>
      </c>
      <c r="J68" s="11" t="s">
        <v>693</v>
      </c>
      <c r="K68" s="50" t="s">
        <v>44</v>
      </c>
      <c r="L68" s="50" t="str">
        <f>VLOOKUP(K68,'[1]list PIC'!C:E,2,0)</f>
        <v>Toni Wijaya</v>
      </c>
      <c r="M68" s="50" t="s">
        <v>694</v>
      </c>
      <c r="N68" s="50" t="s">
        <v>45</v>
      </c>
      <c r="O68" s="51" t="str">
        <f>VLOOKUP(N68,'[1]list PIC'!C:E,2,0)</f>
        <v>Evis Methawan</v>
      </c>
      <c r="P68" s="51" t="str">
        <f>VLOOKUP(N68,'[1]list PIC'!C:E,3,0)</f>
        <v>QA MGR</v>
      </c>
      <c r="Q68" s="52"/>
      <c r="R68" s="52"/>
      <c r="S68" s="52"/>
      <c r="T68" s="52"/>
      <c r="U68" s="52"/>
      <c r="V68" s="52"/>
      <c r="W68" s="52"/>
      <c r="X68" s="52"/>
      <c r="Y68" s="52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ht="62" x14ac:dyDescent="0.35">
      <c r="A69" s="9">
        <v>67</v>
      </c>
      <c r="B69" s="106"/>
      <c r="C69" s="61" t="s">
        <v>218</v>
      </c>
      <c r="D69" s="4" t="s">
        <v>219</v>
      </c>
      <c r="E69" s="5">
        <v>0</v>
      </c>
      <c r="F69" s="6" t="s">
        <v>41</v>
      </c>
      <c r="G69" s="6" t="s">
        <v>42</v>
      </c>
      <c r="H69" s="11" t="s">
        <v>43</v>
      </c>
      <c r="I69" s="50" t="s">
        <v>692</v>
      </c>
      <c r="J69" s="11" t="s">
        <v>693</v>
      </c>
      <c r="K69" s="50" t="s">
        <v>44</v>
      </c>
      <c r="L69" s="50" t="str">
        <f>VLOOKUP(K69,'[1]list PIC'!C:E,2,0)</f>
        <v>Toni Wijaya</v>
      </c>
      <c r="M69" s="50" t="s">
        <v>694</v>
      </c>
      <c r="N69" s="50" t="s">
        <v>45</v>
      </c>
      <c r="O69" s="51" t="str">
        <f>VLOOKUP(N69,'[1]list PIC'!C:E,2,0)</f>
        <v>Evis Methawan</v>
      </c>
      <c r="P69" s="51" t="str">
        <f>VLOOKUP(N69,'[1]list PIC'!C:E,3,0)</f>
        <v>QA MGR</v>
      </c>
      <c r="Q69" s="52"/>
      <c r="R69" s="52"/>
      <c r="S69" s="52"/>
      <c r="T69" s="52"/>
      <c r="U69" s="52"/>
      <c r="V69" s="52"/>
      <c r="W69" s="52"/>
      <c r="X69" s="52"/>
      <c r="Y69" s="52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ht="31" x14ac:dyDescent="0.35">
      <c r="A70" s="9">
        <v>68</v>
      </c>
      <c r="B70" s="106"/>
      <c r="C70" s="33" t="s">
        <v>220</v>
      </c>
      <c r="D70" s="4" t="s">
        <v>221</v>
      </c>
      <c r="E70" s="5" t="s">
        <v>29</v>
      </c>
      <c r="F70" s="4" t="s">
        <v>211</v>
      </c>
      <c r="G70" s="6" t="s">
        <v>212</v>
      </c>
      <c r="H70" s="7" t="s">
        <v>213</v>
      </c>
      <c r="I70" s="50" t="str">
        <f>VLOOKUP(H70,'[1]list PIC'!C:E,2,0)</f>
        <v>Afianty Mardiana</v>
      </c>
      <c r="J70" s="50" t="s">
        <v>720</v>
      </c>
      <c r="K70" s="50" t="s">
        <v>155</v>
      </c>
      <c r="L70" s="50" t="str">
        <f>VLOOKUP(K70,'[1]list PIC'!C:E,2,0)</f>
        <v>Teguh Wicaksono</v>
      </c>
      <c r="M70" s="50" t="s">
        <v>721</v>
      </c>
      <c r="N70" s="50" t="s">
        <v>155</v>
      </c>
      <c r="O70" s="51" t="str">
        <f>VLOOKUP(N70,'[1]list PIC'!C:E,2,0)</f>
        <v>Teguh Wicaksono</v>
      </c>
      <c r="P70" s="51" t="str">
        <f>VLOOKUP(N70,'[1]list PIC'!C:E,3,0)</f>
        <v>NYS MGR</v>
      </c>
      <c r="Q70" s="52"/>
      <c r="R70" s="52"/>
      <c r="S70" s="52"/>
      <c r="T70" s="52"/>
      <c r="U70" s="52"/>
      <c r="V70" s="52"/>
      <c r="W70" s="52"/>
      <c r="X70" s="52"/>
      <c r="Y70" s="52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ht="31" x14ac:dyDescent="0.35">
      <c r="A71" s="9">
        <v>69</v>
      </c>
      <c r="B71" s="106"/>
      <c r="C71" s="33" t="s">
        <v>222</v>
      </c>
      <c r="D71" s="4" t="s">
        <v>223</v>
      </c>
      <c r="E71" s="5" t="s">
        <v>224</v>
      </c>
      <c r="F71" s="4" t="s">
        <v>211</v>
      </c>
      <c r="G71" s="6" t="s">
        <v>212</v>
      </c>
      <c r="H71" s="7" t="s">
        <v>213</v>
      </c>
      <c r="I71" s="50" t="str">
        <f>VLOOKUP(H71,'[1]list PIC'!C:E,2,0)</f>
        <v>Afianty Mardiana</v>
      </c>
      <c r="J71" s="50" t="s">
        <v>720</v>
      </c>
      <c r="K71" s="50" t="s">
        <v>155</v>
      </c>
      <c r="L71" s="50" t="str">
        <f>VLOOKUP(K71,'[1]list PIC'!C:E,2,0)</f>
        <v>Teguh Wicaksono</v>
      </c>
      <c r="M71" s="50" t="s">
        <v>721</v>
      </c>
      <c r="N71" s="50" t="s">
        <v>155</v>
      </c>
      <c r="O71" s="51" t="str">
        <f>VLOOKUP(N71,'[1]list PIC'!C:E,2,0)</f>
        <v>Teguh Wicaksono</v>
      </c>
      <c r="P71" s="51" t="str">
        <f>VLOOKUP(N71,'[1]list PIC'!C:E,3,0)</f>
        <v>NYS MGR</v>
      </c>
      <c r="Q71" s="52"/>
      <c r="R71" s="52"/>
      <c r="S71" s="52"/>
      <c r="T71" s="52"/>
      <c r="U71" s="52"/>
      <c r="V71" s="52"/>
      <c r="W71" s="52"/>
      <c r="X71" s="52"/>
      <c r="Y71" s="52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ht="31" x14ac:dyDescent="0.35">
      <c r="A72" s="9">
        <v>70</v>
      </c>
      <c r="B72" s="107"/>
      <c r="C72" s="33" t="s">
        <v>225</v>
      </c>
      <c r="D72" s="4" t="s">
        <v>226</v>
      </c>
      <c r="E72" s="5">
        <v>0</v>
      </c>
      <c r="F72" s="4" t="s">
        <v>227</v>
      </c>
      <c r="G72" s="6" t="s">
        <v>56</v>
      </c>
      <c r="H72" s="7" t="s">
        <v>57</v>
      </c>
      <c r="I72" s="50" t="str">
        <f>VLOOKUP(H72,'[1]list PIC'!C:E,2,0)</f>
        <v>Shinta Feriyanti</v>
      </c>
      <c r="J72" s="50" t="s">
        <v>697</v>
      </c>
      <c r="K72" s="56" t="s">
        <v>44</v>
      </c>
      <c r="L72" s="50" t="str">
        <f>VLOOKUP(K72,'[1]list PIC'!C:E,2,0)</f>
        <v>Toni Wijaya</v>
      </c>
      <c r="M72" s="50" t="s">
        <v>694</v>
      </c>
      <c r="N72" s="56" t="s">
        <v>45</v>
      </c>
      <c r="O72" s="51" t="str">
        <f>VLOOKUP(N72,'[1]list PIC'!C:E,2,0)</f>
        <v>Evis Methawan</v>
      </c>
      <c r="P72" s="51" t="str">
        <f>VLOOKUP(N72,'[1]list PIC'!C:E,3,0)</f>
        <v>QA MGR</v>
      </c>
      <c r="Q72" s="52"/>
      <c r="R72" s="52"/>
      <c r="S72" s="52"/>
      <c r="T72" s="52"/>
      <c r="U72" s="52"/>
      <c r="V72" s="52"/>
      <c r="W72" s="52"/>
      <c r="X72" s="52"/>
      <c r="Y72" s="52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ht="46.5" x14ac:dyDescent="0.35">
      <c r="A73" s="9">
        <v>71</v>
      </c>
      <c r="B73" s="53" t="s">
        <v>722</v>
      </c>
      <c r="C73" s="32" t="s">
        <v>228</v>
      </c>
      <c r="D73" s="4" t="s">
        <v>229</v>
      </c>
      <c r="E73" s="5">
        <v>16</v>
      </c>
      <c r="F73" s="6" t="s">
        <v>230</v>
      </c>
      <c r="G73" s="6" t="s">
        <v>231</v>
      </c>
      <c r="H73" s="22" t="s">
        <v>232</v>
      </c>
      <c r="I73" s="50" t="s">
        <v>723</v>
      </c>
      <c r="J73" s="22" t="s">
        <v>724</v>
      </c>
      <c r="K73" s="22" t="s">
        <v>233</v>
      </c>
      <c r="L73" s="50" t="str">
        <f>VLOOKUP(K73,'[1]list PIC'!C:E,2,0)</f>
        <v>Evaningsih M</v>
      </c>
      <c r="M73" s="22" t="s">
        <v>725</v>
      </c>
      <c r="N73" s="22" t="s">
        <v>234</v>
      </c>
      <c r="O73" s="51" t="str">
        <f>VLOOKUP(N73,'[1]list PIC'!C:E,2,0)</f>
        <v>Dedi Kurniawan P</v>
      </c>
      <c r="P73" s="51" t="str">
        <f>VLOOKUP(N73,'[1]list PIC'!C:E,3,0)</f>
        <v>PPC JMGR</v>
      </c>
      <c r="Q73" s="52"/>
      <c r="R73" s="52"/>
      <c r="S73" s="52"/>
      <c r="T73" s="52"/>
      <c r="U73" s="52"/>
      <c r="V73" s="52"/>
      <c r="W73" s="52"/>
      <c r="X73" s="52"/>
      <c r="Y73" s="52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ht="15.5" x14ac:dyDescent="0.35">
      <c r="A74" s="9">
        <v>72</v>
      </c>
      <c r="B74" s="105" t="s">
        <v>726</v>
      </c>
      <c r="C74" s="32" t="s">
        <v>235</v>
      </c>
      <c r="D74" s="4" t="s">
        <v>236</v>
      </c>
      <c r="E74" s="5" t="s">
        <v>76</v>
      </c>
      <c r="F74" s="6" t="s">
        <v>190</v>
      </c>
      <c r="G74" s="6" t="s">
        <v>195</v>
      </c>
      <c r="H74" s="7" t="s">
        <v>196</v>
      </c>
      <c r="I74" s="50" t="str">
        <f>VLOOKUP(H74,'[1]list PIC'!C:E,2,0)</f>
        <v>Catur Haryoko</v>
      </c>
      <c r="J74" s="50" t="str">
        <f>VLOOKUP(H74,'[1]list PIC'!C:E,3,0)</f>
        <v>DE SPV</v>
      </c>
      <c r="K74" s="50" t="s">
        <v>90</v>
      </c>
      <c r="L74" s="50" t="str">
        <f>VLOOKUP(K74,'[1]list PIC'!C:E,2,0)</f>
        <v>Kholiq Imam W</v>
      </c>
      <c r="M74" s="50" t="str">
        <f>VLOOKUP(K74,'[1]list PIC'!C:E,3,0)</f>
        <v>MTC MGR</v>
      </c>
      <c r="N74" s="50" t="s">
        <v>90</v>
      </c>
      <c r="O74" s="51" t="str">
        <f>VLOOKUP(N74,'[1]list PIC'!C:E,2,0)</f>
        <v>Kholiq Imam W</v>
      </c>
      <c r="P74" s="51" t="str">
        <f>VLOOKUP(N74,'[1]list PIC'!C:E,3,0)</f>
        <v>MTC MGR</v>
      </c>
      <c r="Q74" s="52"/>
      <c r="R74" s="52"/>
      <c r="S74" s="52"/>
      <c r="T74" s="52"/>
      <c r="U74" s="52"/>
      <c r="V74" s="52"/>
      <c r="W74" s="52"/>
      <c r="X74" s="52"/>
      <c r="Y74" s="52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ht="15.5" x14ac:dyDescent="0.35">
      <c r="A75" s="9">
        <v>73</v>
      </c>
      <c r="B75" s="106"/>
      <c r="C75" s="32" t="s">
        <v>237</v>
      </c>
      <c r="D75" s="4" t="s">
        <v>238</v>
      </c>
      <c r="E75" s="5" t="s">
        <v>20</v>
      </c>
      <c r="F75" s="6" t="s">
        <v>190</v>
      </c>
      <c r="G75" s="6" t="s">
        <v>195</v>
      </c>
      <c r="H75" s="7" t="s">
        <v>196</v>
      </c>
      <c r="I75" s="50" t="str">
        <f>VLOOKUP(H75,'[1]list PIC'!C:E,2,0)</f>
        <v>Catur Haryoko</v>
      </c>
      <c r="J75" s="50" t="str">
        <f>VLOOKUP(H75,'[1]list PIC'!C:E,3,0)</f>
        <v>DE SPV</v>
      </c>
      <c r="K75" s="50" t="s">
        <v>90</v>
      </c>
      <c r="L75" s="50" t="str">
        <f>VLOOKUP(K75,'[1]list PIC'!C:E,2,0)</f>
        <v>Kholiq Imam W</v>
      </c>
      <c r="M75" s="50" t="str">
        <f>VLOOKUP(K75,'[1]list PIC'!C:E,3,0)</f>
        <v>MTC MGR</v>
      </c>
      <c r="N75" s="50" t="s">
        <v>90</v>
      </c>
      <c r="O75" s="51" t="str">
        <f>VLOOKUP(N75,'[1]list PIC'!C:E,2,0)</f>
        <v>Kholiq Imam W</v>
      </c>
      <c r="P75" s="51" t="str">
        <f>VLOOKUP(N75,'[1]list PIC'!C:E,3,0)</f>
        <v>MTC MGR</v>
      </c>
      <c r="Q75" s="52"/>
      <c r="R75" s="52"/>
      <c r="S75" s="52"/>
      <c r="T75" s="52"/>
      <c r="U75" s="52"/>
      <c r="V75" s="52"/>
      <c r="W75" s="52"/>
      <c r="X75" s="52"/>
      <c r="Y75" s="52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ht="15.5" x14ac:dyDescent="0.35">
      <c r="A76" s="9">
        <v>74</v>
      </c>
      <c r="B76" s="106"/>
      <c r="C76" s="32" t="s">
        <v>239</v>
      </c>
      <c r="D76" s="4" t="s">
        <v>240</v>
      </c>
      <c r="E76" s="5" t="s">
        <v>17</v>
      </c>
      <c r="F76" s="6" t="s">
        <v>190</v>
      </c>
      <c r="G76" s="6" t="s">
        <v>195</v>
      </c>
      <c r="H76" s="7" t="s">
        <v>196</v>
      </c>
      <c r="I76" s="50" t="str">
        <f>VLOOKUP(H76,'[1]list PIC'!C:E,2,0)</f>
        <v>Catur Haryoko</v>
      </c>
      <c r="J76" s="50" t="str">
        <f>VLOOKUP(H76,'[1]list PIC'!C:E,3,0)</f>
        <v>DE SPV</v>
      </c>
      <c r="K76" s="50" t="s">
        <v>90</v>
      </c>
      <c r="L76" s="50" t="str">
        <f>VLOOKUP(K76,'[1]list PIC'!C:E,2,0)</f>
        <v>Kholiq Imam W</v>
      </c>
      <c r="M76" s="50" t="str">
        <f>VLOOKUP(K76,'[1]list PIC'!C:E,3,0)</f>
        <v>MTC MGR</v>
      </c>
      <c r="N76" s="50" t="s">
        <v>90</v>
      </c>
      <c r="O76" s="51" t="str">
        <f>VLOOKUP(N76,'[1]list PIC'!C:E,2,0)</f>
        <v>Kholiq Imam W</v>
      </c>
      <c r="P76" s="51" t="str">
        <f>VLOOKUP(N76,'[1]list PIC'!C:E,3,0)</f>
        <v>MTC MGR</v>
      </c>
      <c r="Q76" s="52"/>
      <c r="R76" s="52"/>
      <c r="S76" s="52"/>
      <c r="T76" s="52"/>
      <c r="U76" s="52"/>
      <c r="V76" s="52"/>
      <c r="W76" s="52"/>
      <c r="X76" s="52"/>
      <c r="Y76" s="52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ht="31" x14ac:dyDescent="0.35">
      <c r="A77" s="9">
        <v>75</v>
      </c>
      <c r="B77" s="106"/>
      <c r="C77" s="33" t="s">
        <v>241</v>
      </c>
      <c r="D77" s="4" t="s">
        <v>242</v>
      </c>
      <c r="E77" s="5" t="s">
        <v>194</v>
      </c>
      <c r="F77" s="6" t="s">
        <v>243</v>
      </c>
      <c r="G77" s="6" t="s">
        <v>56</v>
      </c>
      <c r="H77" s="7" t="s">
        <v>57</v>
      </c>
      <c r="I77" s="50" t="str">
        <f>VLOOKUP(H77,'[1]list PIC'!C:E,2,0)</f>
        <v>Shinta Feriyanti</v>
      </c>
      <c r="J77" s="50" t="s">
        <v>697</v>
      </c>
      <c r="K77" s="56" t="s">
        <v>44</v>
      </c>
      <c r="L77" s="50" t="str">
        <f>VLOOKUP(K77,'[1]list PIC'!C:E,2,0)</f>
        <v>Toni Wijaya</v>
      </c>
      <c r="M77" s="50" t="s">
        <v>694</v>
      </c>
      <c r="N77" s="56" t="s">
        <v>45</v>
      </c>
      <c r="O77" s="51" t="str">
        <f>VLOOKUP(N77,'[1]list PIC'!C:E,2,0)</f>
        <v>Evis Methawan</v>
      </c>
      <c r="P77" s="51" t="str">
        <f>VLOOKUP(N77,'[1]list PIC'!C:E,3,0)</f>
        <v>QA MGR</v>
      </c>
      <c r="Q77" s="52"/>
      <c r="R77" s="52"/>
      <c r="S77" s="52"/>
      <c r="T77" s="52"/>
      <c r="U77" s="52"/>
      <c r="V77" s="52"/>
      <c r="W77" s="52"/>
      <c r="X77" s="52"/>
      <c r="Y77" s="52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ht="15.5" x14ac:dyDescent="0.35">
      <c r="A78" s="9">
        <v>76</v>
      </c>
      <c r="B78" s="106"/>
      <c r="C78" s="33" t="s">
        <v>244</v>
      </c>
      <c r="D78" s="4" t="s">
        <v>245</v>
      </c>
      <c r="E78" s="5" t="s">
        <v>76</v>
      </c>
      <c r="F78" s="6" t="s">
        <v>190</v>
      </c>
      <c r="G78" s="6" t="s">
        <v>195</v>
      </c>
      <c r="H78" s="7" t="s">
        <v>196</v>
      </c>
      <c r="I78" s="50" t="str">
        <f>VLOOKUP(H78,'[1]list PIC'!C:E,2,0)</f>
        <v>Catur Haryoko</v>
      </c>
      <c r="J78" s="50" t="str">
        <f>VLOOKUP(H78,'[1]list PIC'!C:E,3,0)</f>
        <v>DE SPV</v>
      </c>
      <c r="K78" s="50" t="s">
        <v>90</v>
      </c>
      <c r="L78" s="50" t="str">
        <f>VLOOKUP(K78,'[1]list PIC'!C:E,2,0)</f>
        <v>Kholiq Imam W</v>
      </c>
      <c r="M78" s="50" t="str">
        <f>VLOOKUP(K78,'[1]list PIC'!C:E,3,0)</f>
        <v>MTC MGR</v>
      </c>
      <c r="N78" s="50" t="s">
        <v>90</v>
      </c>
      <c r="O78" s="51" t="str">
        <f>VLOOKUP(N78,'[1]list PIC'!C:E,2,0)</f>
        <v>Kholiq Imam W</v>
      </c>
      <c r="P78" s="51" t="str">
        <f>VLOOKUP(N78,'[1]list PIC'!C:E,3,0)</f>
        <v>MTC MGR</v>
      </c>
      <c r="Q78" s="52"/>
      <c r="R78" s="52"/>
      <c r="S78" s="52"/>
      <c r="T78" s="52"/>
      <c r="U78" s="52"/>
      <c r="V78" s="52"/>
      <c r="W78" s="52"/>
      <c r="X78" s="52"/>
      <c r="Y78" s="52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ht="31" x14ac:dyDescent="0.35">
      <c r="A79" s="9">
        <v>77</v>
      </c>
      <c r="B79" s="106"/>
      <c r="C79" s="33" t="s">
        <v>246</v>
      </c>
      <c r="D79" s="4" t="s">
        <v>247</v>
      </c>
      <c r="E79" s="5">
        <v>11</v>
      </c>
      <c r="F79" s="6" t="s">
        <v>248</v>
      </c>
      <c r="G79" s="6" t="s">
        <v>56</v>
      </c>
      <c r="H79" s="7" t="s">
        <v>57</v>
      </c>
      <c r="I79" s="50" t="str">
        <f>VLOOKUP(H79,'[1]list PIC'!C:E,2,0)</f>
        <v>Shinta Feriyanti</v>
      </c>
      <c r="J79" s="50" t="s">
        <v>697</v>
      </c>
      <c r="K79" s="56" t="s">
        <v>44</v>
      </c>
      <c r="L79" s="50" t="str">
        <f>VLOOKUP(K79,'[1]list PIC'!C:E,2,0)</f>
        <v>Toni Wijaya</v>
      </c>
      <c r="M79" s="50" t="s">
        <v>694</v>
      </c>
      <c r="N79" s="56" t="s">
        <v>45</v>
      </c>
      <c r="O79" s="51" t="str">
        <f>VLOOKUP(N79,'[1]list PIC'!C:E,2,0)</f>
        <v>Evis Methawan</v>
      </c>
      <c r="P79" s="51" t="str">
        <f>VLOOKUP(N79,'[1]list PIC'!C:E,3,0)</f>
        <v>QA MGR</v>
      </c>
      <c r="Q79" s="52"/>
      <c r="R79" s="52"/>
      <c r="S79" s="52"/>
      <c r="T79" s="52"/>
      <c r="U79" s="52"/>
      <c r="V79" s="52"/>
      <c r="W79" s="52"/>
      <c r="X79" s="52"/>
      <c r="Y79" s="52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ht="31" x14ac:dyDescent="0.35">
      <c r="A80" s="9">
        <v>78</v>
      </c>
      <c r="B80" s="106"/>
      <c r="C80" s="32" t="s">
        <v>249</v>
      </c>
      <c r="D80" s="4" t="s">
        <v>250</v>
      </c>
      <c r="E80" s="5" t="s">
        <v>37</v>
      </c>
      <c r="F80" s="4" t="s">
        <v>251</v>
      </c>
      <c r="G80" s="57" t="s">
        <v>252</v>
      </c>
      <c r="H80" s="7" t="s">
        <v>253</v>
      </c>
      <c r="I80" s="50" t="str">
        <f>VLOOKUP(H80,'[1]list PIC'!C:E,2,0)</f>
        <v>Sri Sepfi Setyowati</v>
      </c>
      <c r="J80" s="50" t="s">
        <v>727</v>
      </c>
      <c r="K80" s="50" t="s">
        <v>44</v>
      </c>
      <c r="L80" s="50" t="str">
        <f>VLOOKUP(K80,'[1]list PIC'!C:E,2,0)</f>
        <v>Toni Wijaya</v>
      </c>
      <c r="M80" s="50" t="s">
        <v>694</v>
      </c>
      <c r="N80" s="50" t="s">
        <v>45</v>
      </c>
      <c r="O80" s="51" t="str">
        <f>VLOOKUP(N80,'[1]list PIC'!C:E,2,0)</f>
        <v>Evis Methawan</v>
      </c>
      <c r="P80" s="51" t="str">
        <f>VLOOKUP(N80,'[1]list PIC'!C:E,3,0)</f>
        <v>QA MGR</v>
      </c>
      <c r="Q80" s="50" t="s">
        <v>254</v>
      </c>
      <c r="R80" s="50" t="str">
        <f>VLOOKUP(Q80,'[1]list PIC'!C:E,2,0)</f>
        <v>M. Machyudin Rafi</v>
      </c>
      <c r="S80" s="50" t="str">
        <f>VLOOKUP(Q80,'[1]list PIC'!C:E,3,0)</f>
        <v>MPC SPV</v>
      </c>
      <c r="T80" s="50" t="s">
        <v>255</v>
      </c>
      <c r="U80" s="50" t="str">
        <f>VLOOKUP(T80,'[1]list PIC'!C:E,2,0)</f>
        <v>M. Riza Aviev</v>
      </c>
      <c r="V80" s="50" t="str">
        <f>VLOOKUP(T80,'[1]list PIC'!C:E,3,0)</f>
        <v>MPC-WHS JMGR</v>
      </c>
      <c r="W80" s="50" t="s">
        <v>255</v>
      </c>
      <c r="X80" s="51" t="str">
        <f>VLOOKUP(W80,'[1]list PIC'!C:E,2,0)</f>
        <v>M. Riza Aviev</v>
      </c>
      <c r="Y80" s="51" t="str">
        <f>VLOOKUP(W80,'[1]list PIC'!C:E,3,0)</f>
        <v>MPC-WHS JMGR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ht="31" x14ac:dyDescent="0.35">
      <c r="A81" s="9">
        <v>79</v>
      </c>
      <c r="B81" s="106"/>
      <c r="C81" s="33" t="s">
        <v>256</v>
      </c>
      <c r="D81" s="4" t="s">
        <v>257</v>
      </c>
      <c r="E81" s="5" t="s">
        <v>194</v>
      </c>
      <c r="F81" s="6" t="s">
        <v>190</v>
      </c>
      <c r="G81" s="6" t="s">
        <v>191</v>
      </c>
      <c r="H81" s="7" t="s">
        <v>89</v>
      </c>
      <c r="I81" s="50" t="str">
        <f>VLOOKUP(H81,'[1]list PIC'!C:E,2,0)</f>
        <v>Vinny Rahmawati</v>
      </c>
      <c r="J81" s="50" t="s">
        <v>702</v>
      </c>
      <c r="K81" s="56" t="s">
        <v>90</v>
      </c>
      <c r="L81" s="50" t="str">
        <f>VLOOKUP(K81,'[1]list PIC'!C:E,2,0)</f>
        <v>Kholiq Imam W</v>
      </c>
      <c r="M81" s="50" t="s">
        <v>719</v>
      </c>
      <c r="N81" s="56" t="s">
        <v>90</v>
      </c>
      <c r="O81" s="51" t="str">
        <f>VLOOKUP(N81,'[1]list PIC'!C:E,2,0)</f>
        <v>Kholiq Imam W</v>
      </c>
      <c r="P81" s="51" t="str">
        <f>VLOOKUP(N81,'[1]list PIC'!C:E,3,0)</f>
        <v>MTC MGR</v>
      </c>
      <c r="Q81" s="52"/>
      <c r="R81" s="52"/>
      <c r="S81" s="52"/>
      <c r="T81" s="52"/>
      <c r="U81" s="52"/>
      <c r="V81" s="52"/>
      <c r="W81" s="52"/>
      <c r="X81" s="52"/>
      <c r="Y81" s="52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ht="31" x14ac:dyDescent="0.35">
      <c r="A82" s="9">
        <v>80</v>
      </c>
      <c r="B82" s="106"/>
      <c r="C82" s="33" t="s">
        <v>258</v>
      </c>
      <c r="D82" s="4" t="s">
        <v>259</v>
      </c>
      <c r="E82" s="5" t="s">
        <v>37</v>
      </c>
      <c r="F82" s="6" t="s">
        <v>190</v>
      </c>
      <c r="G82" s="6" t="s">
        <v>191</v>
      </c>
      <c r="H82" s="7" t="s">
        <v>89</v>
      </c>
      <c r="I82" s="50" t="str">
        <f>VLOOKUP(H82,'[1]list PIC'!C:E,2,0)</f>
        <v>Vinny Rahmawati</v>
      </c>
      <c r="J82" s="50" t="s">
        <v>702</v>
      </c>
      <c r="K82" s="56" t="s">
        <v>90</v>
      </c>
      <c r="L82" s="50" t="str">
        <f>VLOOKUP(K82,'[1]list PIC'!C:E,2,0)</f>
        <v>Kholiq Imam W</v>
      </c>
      <c r="M82" s="50" t="s">
        <v>719</v>
      </c>
      <c r="N82" s="56" t="s">
        <v>90</v>
      </c>
      <c r="O82" s="51" t="str">
        <f>VLOOKUP(N82,'[1]list PIC'!C:E,2,0)</f>
        <v>Kholiq Imam W</v>
      </c>
      <c r="P82" s="51" t="str">
        <f>VLOOKUP(N82,'[1]list PIC'!C:E,3,0)</f>
        <v>MTC MGR</v>
      </c>
      <c r="Q82" s="52"/>
      <c r="R82" s="52"/>
      <c r="S82" s="52"/>
      <c r="T82" s="52"/>
      <c r="U82" s="52"/>
      <c r="V82" s="52"/>
      <c r="W82" s="52"/>
      <c r="X82" s="52"/>
      <c r="Y82" s="52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ht="31" x14ac:dyDescent="0.35">
      <c r="A83" s="9">
        <v>81</v>
      </c>
      <c r="B83" s="106"/>
      <c r="C83" s="33" t="s">
        <v>260</v>
      </c>
      <c r="D83" s="4" t="s">
        <v>261</v>
      </c>
      <c r="E83" s="5" t="s">
        <v>29</v>
      </c>
      <c r="F83" s="6" t="s">
        <v>190</v>
      </c>
      <c r="G83" s="6" t="s">
        <v>191</v>
      </c>
      <c r="H83" s="7" t="s">
        <v>89</v>
      </c>
      <c r="I83" s="50" t="str">
        <f>VLOOKUP(H83,'[1]list PIC'!C:E,2,0)</f>
        <v>Vinny Rahmawati</v>
      </c>
      <c r="J83" s="50" t="s">
        <v>702</v>
      </c>
      <c r="K83" s="56" t="s">
        <v>90</v>
      </c>
      <c r="L83" s="50" t="str">
        <f>VLOOKUP(K83,'[1]list PIC'!C:E,2,0)</f>
        <v>Kholiq Imam W</v>
      </c>
      <c r="M83" s="50" t="s">
        <v>719</v>
      </c>
      <c r="N83" s="56" t="s">
        <v>90</v>
      </c>
      <c r="O83" s="51" t="str">
        <f>VLOOKUP(N83,'[1]list PIC'!C:E,2,0)</f>
        <v>Kholiq Imam W</v>
      </c>
      <c r="P83" s="51" t="str">
        <f>VLOOKUP(N83,'[1]list PIC'!C:E,3,0)</f>
        <v>MTC MGR</v>
      </c>
      <c r="Q83" s="52"/>
      <c r="R83" s="52"/>
      <c r="S83" s="52"/>
      <c r="T83" s="52"/>
      <c r="U83" s="52"/>
      <c r="V83" s="52"/>
      <c r="W83" s="52"/>
      <c r="X83" s="52"/>
      <c r="Y83" s="52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ht="31" x14ac:dyDescent="0.35">
      <c r="A84" s="9">
        <v>82</v>
      </c>
      <c r="B84" s="106"/>
      <c r="C84" s="33" t="s">
        <v>262</v>
      </c>
      <c r="D84" s="4" t="s">
        <v>263</v>
      </c>
      <c r="E84" s="5" t="s">
        <v>20</v>
      </c>
      <c r="F84" s="4" t="s">
        <v>179</v>
      </c>
      <c r="G84" s="6" t="s">
        <v>180</v>
      </c>
      <c r="H84" s="7" t="s">
        <v>181</v>
      </c>
      <c r="I84" s="50" t="str">
        <f>VLOOKUP(H84,'[1]list PIC'!C:E,2,0)</f>
        <v>Lita Darmawanti</v>
      </c>
      <c r="J84" s="50" t="s">
        <v>716</v>
      </c>
      <c r="K84" s="50" t="s">
        <v>34</v>
      </c>
      <c r="L84" s="50" t="str">
        <f>VLOOKUP(K84,'[1]list PIC'!C:E,2,0)</f>
        <v>Robertus Edy P</v>
      </c>
      <c r="M84" s="50" t="s">
        <v>717</v>
      </c>
      <c r="N84" s="50" t="s">
        <v>34</v>
      </c>
      <c r="O84" s="51" t="str">
        <f>VLOOKUP(N84,'[1]list PIC'!C:E,2,0)</f>
        <v>Robertus Edy P</v>
      </c>
      <c r="P84" s="51" t="str">
        <f>VLOOKUP(N84,'[1]list PIC'!C:E,3,0)</f>
        <v>PROD SMGR</v>
      </c>
      <c r="Q84" s="52"/>
      <c r="R84" s="52"/>
      <c r="S84" s="52"/>
      <c r="T84" s="52"/>
      <c r="U84" s="52"/>
      <c r="V84" s="52"/>
      <c r="W84" s="52"/>
      <c r="X84" s="52"/>
      <c r="Y84" s="52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ht="15.5" x14ac:dyDescent="0.35">
      <c r="A85" s="9">
        <v>83</v>
      </c>
      <c r="B85" s="106"/>
      <c r="C85" s="32" t="s">
        <v>264</v>
      </c>
      <c r="D85" s="4" t="s">
        <v>265</v>
      </c>
      <c r="E85" s="5" t="s">
        <v>29</v>
      </c>
      <c r="F85" s="6" t="s">
        <v>190</v>
      </c>
      <c r="G85" s="6" t="s">
        <v>195</v>
      </c>
      <c r="H85" s="7" t="s">
        <v>196</v>
      </c>
      <c r="I85" s="50" t="str">
        <f>VLOOKUP(H85,'[1]list PIC'!C:E,2,0)</f>
        <v>Catur Haryoko</v>
      </c>
      <c r="J85" s="50" t="str">
        <f>VLOOKUP(H85,'[1]list PIC'!C:E,3,0)</f>
        <v>DE SPV</v>
      </c>
      <c r="K85" s="50" t="s">
        <v>90</v>
      </c>
      <c r="L85" s="50" t="str">
        <f>VLOOKUP(K85,'[1]list PIC'!C:E,2,0)</f>
        <v>Kholiq Imam W</v>
      </c>
      <c r="M85" s="50" t="str">
        <f>VLOOKUP(K85,'[1]list PIC'!C:E,3,0)</f>
        <v>MTC MGR</v>
      </c>
      <c r="N85" s="50" t="s">
        <v>90</v>
      </c>
      <c r="O85" s="51" t="str">
        <f>VLOOKUP(N85,'[1]list PIC'!C:E,2,0)</f>
        <v>Kholiq Imam W</v>
      </c>
      <c r="P85" s="51" t="str">
        <f>VLOOKUP(N85,'[1]list PIC'!C:E,3,0)</f>
        <v>MTC MGR</v>
      </c>
      <c r="Q85" s="52"/>
      <c r="R85" s="52"/>
      <c r="S85" s="52"/>
      <c r="T85" s="52"/>
      <c r="U85" s="52"/>
      <c r="V85" s="52"/>
      <c r="W85" s="52"/>
      <c r="X85" s="52"/>
      <c r="Y85" s="52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ht="62" x14ac:dyDescent="0.35">
      <c r="A86" s="9">
        <v>84</v>
      </c>
      <c r="B86" s="106"/>
      <c r="C86" s="62" t="s">
        <v>266</v>
      </c>
      <c r="D86" s="4" t="s">
        <v>267</v>
      </c>
      <c r="E86" s="5" t="s">
        <v>29</v>
      </c>
      <c r="F86" s="6" t="s">
        <v>41</v>
      </c>
      <c r="G86" s="6" t="s">
        <v>42</v>
      </c>
      <c r="H86" s="11" t="s">
        <v>43</v>
      </c>
      <c r="I86" s="50" t="s">
        <v>692</v>
      </c>
      <c r="J86" s="11" t="s">
        <v>693</v>
      </c>
      <c r="K86" s="50" t="s">
        <v>44</v>
      </c>
      <c r="L86" s="50" t="str">
        <f>VLOOKUP(K86,'[1]list PIC'!C:E,2,0)</f>
        <v>Toni Wijaya</v>
      </c>
      <c r="M86" s="50" t="s">
        <v>694</v>
      </c>
      <c r="N86" s="50" t="s">
        <v>45</v>
      </c>
      <c r="O86" s="51" t="str">
        <f>VLOOKUP(N86,'[1]list PIC'!C:E,2,0)</f>
        <v>Evis Methawan</v>
      </c>
      <c r="P86" s="51" t="str">
        <f>VLOOKUP(N86,'[1]list PIC'!C:E,3,0)</f>
        <v>QA MGR</v>
      </c>
      <c r="Q86" s="52"/>
      <c r="R86" s="52"/>
      <c r="S86" s="52"/>
      <c r="T86" s="52"/>
      <c r="U86" s="52"/>
      <c r="V86" s="52"/>
      <c r="W86" s="52"/>
      <c r="X86" s="52"/>
      <c r="Y86" s="52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ht="62" x14ac:dyDescent="0.35">
      <c r="A87" s="9">
        <v>85</v>
      </c>
      <c r="B87" s="107"/>
      <c r="C87" s="33" t="s">
        <v>268</v>
      </c>
      <c r="D87" s="4" t="s">
        <v>269</v>
      </c>
      <c r="E87" s="5" t="s">
        <v>270</v>
      </c>
      <c r="F87" s="6" t="s">
        <v>41</v>
      </c>
      <c r="G87" s="6" t="s">
        <v>42</v>
      </c>
      <c r="H87" s="11" t="s">
        <v>43</v>
      </c>
      <c r="I87" s="50" t="s">
        <v>692</v>
      </c>
      <c r="J87" s="11" t="s">
        <v>693</v>
      </c>
      <c r="K87" s="50" t="s">
        <v>44</v>
      </c>
      <c r="L87" s="50" t="str">
        <f>VLOOKUP(K87,'[1]list PIC'!C:E,2,0)</f>
        <v>Toni Wijaya</v>
      </c>
      <c r="M87" s="50" t="s">
        <v>694</v>
      </c>
      <c r="N87" s="50" t="s">
        <v>45</v>
      </c>
      <c r="O87" s="51" t="str">
        <f>VLOOKUP(N87,'[1]list PIC'!C:E,2,0)</f>
        <v>Evis Methawan</v>
      </c>
      <c r="P87" s="51" t="str">
        <f>VLOOKUP(N87,'[1]list PIC'!C:E,3,0)</f>
        <v>QA MGR</v>
      </c>
      <c r="Q87" s="52"/>
      <c r="R87" s="52"/>
      <c r="S87" s="52"/>
      <c r="T87" s="52"/>
      <c r="U87" s="52"/>
      <c r="V87" s="52"/>
      <c r="W87" s="52"/>
      <c r="X87" s="52"/>
      <c r="Y87" s="52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ht="31" x14ac:dyDescent="0.35">
      <c r="A88" s="9">
        <v>86</v>
      </c>
      <c r="B88" s="54" t="s">
        <v>728</v>
      </c>
      <c r="C88" s="32" t="s">
        <v>271</v>
      </c>
      <c r="D88" s="4" t="s">
        <v>272</v>
      </c>
      <c r="E88" s="15" t="s">
        <v>37</v>
      </c>
      <c r="F88" s="6" t="s">
        <v>55</v>
      </c>
      <c r="G88" s="6" t="s">
        <v>56</v>
      </c>
      <c r="H88" s="7" t="s">
        <v>57</v>
      </c>
      <c r="I88" s="50" t="str">
        <f>VLOOKUP(H88,'[1]list PIC'!C:E,2,0)</f>
        <v>Shinta Feriyanti</v>
      </c>
      <c r="J88" s="50" t="s">
        <v>697</v>
      </c>
      <c r="K88" s="56" t="s">
        <v>44</v>
      </c>
      <c r="L88" s="50" t="str">
        <f>VLOOKUP(K88,'[1]list PIC'!C:E,2,0)</f>
        <v>Toni Wijaya</v>
      </c>
      <c r="M88" s="50" t="s">
        <v>694</v>
      </c>
      <c r="N88" s="56" t="s">
        <v>45</v>
      </c>
      <c r="O88" s="51" t="str">
        <f>VLOOKUP(N88,'[1]list PIC'!C:E,2,0)</f>
        <v>Evis Methawan</v>
      </c>
      <c r="P88" s="51" t="str">
        <f>VLOOKUP(N88,'[1]list PIC'!C:E,3,0)</f>
        <v>QA MGR</v>
      </c>
      <c r="Q88" s="52"/>
      <c r="R88" s="52"/>
      <c r="S88" s="52"/>
      <c r="T88" s="52"/>
      <c r="U88" s="52"/>
      <c r="V88" s="52"/>
      <c r="W88" s="52"/>
      <c r="X88" s="52"/>
      <c r="Y88" s="52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ht="31" x14ac:dyDescent="0.35">
      <c r="A89" s="9">
        <v>87</v>
      </c>
      <c r="B89" s="54" t="s">
        <v>729</v>
      </c>
      <c r="C89" s="33" t="s">
        <v>273</v>
      </c>
      <c r="D89" s="6" t="s">
        <v>274</v>
      </c>
      <c r="E89" s="5" t="s">
        <v>194</v>
      </c>
      <c r="F89" s="6" t="s">
        <v>55</v>
      </c>
      <c r="G89" s="6" t="s">
        <v>56</v>
      </c>
      <c r="H89" s="7" t="s">
        <v>57</v>
      </c>
      <c r="I89" s="50" t="str">
        <f>VLOOKUP(H89,'[1]list PIC'!C:E,2,0)</f>
        <v>Shinta Feriyanti</v>
      </c>
      <c r="J89" s="50" t="s">
        <v>697</v>
      </c>
      <c r="K89" s="56" t="s">
        <v>44</v>
      </c>
      <c r="L89" s="50" t="str">
        <f>VLOOKUP(K89,'[1]list PIC'!C:E,2,0)</f>
        <v>Toni Wijaya</v>
      </c>
      <c r="M89" s="50" t="s">
        <v>694</v>
      </c>
      <c r="N89" s="56" t="s">
        <v>45</v>
      </c>
      <c r="O89" s="51" t="str">
        <f>VLOOKUP(N89,'[1]list PIC'!C:E,2,0)</f>
        <v>Evis Methawan</v>
      </c>
      <c r="P89" s="51" t="str">
        <f>VLOOKUP(N89,'[1]list PIC'!C:E,3,0)</f>
        <v>QA MGR</v>
      </c>
      <c r="Q89" s="52"/>
      <c r="R89" s="52"/>
      <c r="S89" s="52"/>
      <c r="T89" s="52"/>
      <c r="U89" s="52"/>
      <c r="V89" s="52"/>
      <c r="W89" s="52"/>
      <c r="X89" s="52"/>
      <c r="Y89" s="52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ht="31" x14ac:dyDescent="0.35">
      <c r="A90" s="9">
        <v>88</v>
      </c>
      <c r="B90" s="54" t="s">
        <v>730</v>
      </c>
      <c r="C90" s="32" t="s">
        <v>275</v>
      </c>
      <c r="D90" s="4" t="s">
        <v>276</v>
      </c>
      <c r="E90" s="5" t="s">
        <v>194</v>
      </c>
      <c r="F90" s="6" t="s">
        <v>277</v>
      </c>
      <c r="G90" s="6" t="s">
        <v>231</v>
      </c>
      <c r="H90" s="22" t="s">
        <v>232</v>
      </c>
      <c r="I90" s="50" t="s">
        <v>723</v>
      </c>
      <c r="J90" s="22" t="s">
        <v>724</v>
      </c>
      <c r="K90" s="22" t="s">
        <v>233</v>
      </c>
      <c r="L90" s="50" t="str">
        <f>VLOOKUP(K90,'[1]list PIC'!C:E,2,0)</f>
        <v>Evaningsih M</v>
      </c>
      <c r="M90" s="50" t="s">
        <v>725</v>
      </c>
      <c r="N90" s="22" t="s">
        <v>234</v>
      </c>
      <c r="O90" s="51" t="str">
        <f>VLOOKUP(N90,'[1]list PIC'!C:E,2,0)</f>
        <v>Dedi Kurniawan P</v>
      </c>
      <c r="P90" s="51" t="str">
        <f>VLOOKUP(N90,'[1]list PIC'!C:E,3,0)</f>
        <v>PPC JMGR</v>
      </c>
      <c r="Q90" s="52"/>
      <c r="R90" s="52"/>
      <c r="S90" s="52"/>
      <c r="T90" s="52"/>
      <c r="U90" s="52"/>
      <c r="V90" s="52"/>
      <c r="W90" s="52"/>
      <c r="X90" s="52"/>
      <c r="Y90" s="52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ht="31" x14ac:dyDescent="0.35">
      <c r="A91" s="9">
        <v>89</v>
      </c>
      <c r="B91" s="105" t="s">
        <v>731</v>
      </c>
      <c r="C91" s="32" t="s">
        <v>278</v>
      </c>
      <c r="D91" s="4" t="s">
        <v>279</v>
      </c>
      <c r="E91" s="5" t="s">
        <v>20</v>
      </c>
      <c r="F91" s="6" t="s">
        <v>277</v>
      </c>
      <c r="G91" s="6" t="s">
        <v>231</v>
      </c>
      <c r="H91" s="22" t="s">
        <v>232</v>
      </c>
      <c r="I91" s="50" t="s">
        <v>723</v>
      </c>
      <c r="J91" s="22" t="s">
        <v>724</v>
      </c>
      <c r="K91" s="22" t="s">
        <v>233</v>
      </c>
      <c r="L91" s="50" t="str">
        <f>VLOOKUP(K91,'[1]list PIC'!C:E,2,0)</f>
        <v>Evaningsih M</v>
      </c>
      <c r="M91" s="50" t="s">
        <v>725</v>
      </c>
      <c r="N91" s="22" t="s">
        <v>234</v>
      </c>
      <c r="O91" s="51" t="str">
        <f>VLOOKUP(N91,'[1]list PIC'!C:E,2,0)</f>
        <v>Dedi Kurniawan P</v>
      </c>
      <c r="P91" s="51" t="str">
        <f>VLOOKUP(N91,'[1]list PIC'!C:E,3,0)</f>
        <v>PPC JMGR</v>
      </c>
      <c r="Q91" s="52"/>
      <c r="R91" s="52"/>
      <c r="S91" s="52"/>
      <c r="T91" s="52"/>
      <c r="U91" s="52"/>
      <c r="V91" s="52"/>
      <c r="W91" s="52"/>
      <c r="X91" s="52"/>
      <c r="Y91" s="52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ht="31" x14ac:dyDescent="0.35">
      <c r="A92" s="9">
        <v>90</v>
      </c>
      <c r="B92" s="106"/>
      <c r="C92" s="58" t="s">
        <v>280</v>
      </c>
      <c r="D92" s="4" t="s">
        <v>281</v>
      </c>
      <c r="E92" s="5" t="s">
        <v>76</v>
      </c>
      <c r="F92" s="6" t="s">
        <v>277</v>
      </c>
      <c r="G92" s="6" t="s">
        <v>231</v>
      </c>
      <c r="H92" s="22" t="s">
        <v>232</v>
      </c>
      <c r="I92" s="50" t="s">
        <v>723</v>
      </c>
      <c r="J92" s="22" t="s">
        <v>724</v>
      </c>
      <c r="K92" s="22" t="s">
        <v>233</v>
      </c>
      <c r="L92" s="50" t="str">
        <f>VLOOKUP(K92,'[1]list PIC'!C:E,2,0)</f>
        <v>Evaningsih M</v>
      </c>
      <c r="M92" s="50" t="s">
        <v>725</v>
      </c>
      <c r="N92" s="22" t="s">
        <v>234</v>
      </c>
      <c r="O92" s="51" t="str">
        <f>VLOOKUP(N92,'[1]list PIC'!C:E,2,0)</f>
        <v>Dedi Kurniawan P</v>
      </c>
      <c r="P92" s="51" t="str">
        <f>VLOOKUP(N92,'[1]list PIC'!C:E,3,0)</f>
        <v>PPC JMGR</v>
      </c>
      <c r="Q92" s="52"/>
      <c r="R92" s="52"/>
      <c r="S92" s="52"/>
      <c r="T92" s="52"/>
      <c r="U92" s="52"/>
      <c r="V92" s="52"/>
      <c r="W92" s="52"/>
      <c r="X92" s="52"/>
      <c r="Y92" s="52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ht="31" x14ac:dyDescent="0.35">
      <c r="A93" s="9">
        <v>91</v>
      </c>
      <c r="B93" s="106"/>
      <c r="C93" s="32" t="s">
        <v>282</v>
      </c>
      <c r="D93" s="4" t="s">
        <v>283</v>
      </c>
      <c r="E93" s="5" t="s">
        <v>23</v>
      </c>
      <c r="F93" s="6" t="s">
        <v>277</v>
      </c>
      <c r="G93" s="6" t="s">
        <v>231</v>
      </c>
      <c r="H93" s="22" t="s">
        <v>232</v>
      </c>
      <c r="I93" s="50" t="s">
        <v>723</v>
      </c>
      <c r="J93" s="22" t="s">
        <v>724</v>
      </c>
      <c r="K93" s="22" t="s">
        <v>233</v>
      </c>
      <c r="L93" s="50" t="str">
        <f>VLOOKUP(K93,'[1]list PIC'!C:E,2,0)</f>
        <v>Evaningsih M</v>
      </c>
      <c r="M93" s="50" t="s">
        <v>725</v>
      </c>
      <c r="N93" s="22" t="s">
        <v>234</v>
      </c>
      <c r="O93" s="51" t="str">
        <f>VLOOKUP(N93,'[1]list PIC'!C:E,2,0)</f>
        <v>Dedi Kurniawan P</v>
      </c>
      <c r="P93" s="51" t="str">
        <f>VLOOKUP(N93,'[1]list PIC'!C:E,3,0)</f>
        <v>PPC JMGR</v>
      </c>
      <c r="Q93" s="52"/>
      <c r="R93" s="52"/>
      <c r="S93" s="52"/>
      <c r="T93" s="52"/>
      <c r="U93" s="52"/>
      <c r="V93" s="52"/>
      <c r="W93" s="52"/>
      <c r="X93" s="52"/>
      <c r="Y93" s="52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ht="31" x14ac:dyDescent="0.35">
      <c r="A94" s="9">
        <v>92</v>
      </c>
      <c r="B94" s="106"/>
      <c r="C94" s="58" t="s">
        <v>284</v>
      </c>
      <c r="D94" s="4" t="s">
        <v>285</v>
      </c>
      <c r="E94" s="5" t="s">
        <v>40</v>
      </c>
      <c r="F94" s="6" t="s">
        <v>277</v>
      </c>
      <c r="G94" s="6" t="s">
        <v>231</v>
      </c>
      <c r="H94" s="22" t="s">
        <v>232</v>
      </c>
      <c r="I94" s="50" t="s">
        <v>723</v>
      </c>
      <c r="J94" s="22" t="s">
        <v>724</v>
      </c>
      <c r="K94" s="22" t="s">
        <v>233</v>
      </c>
      <c r="L94" s="50" t="str">
        <f>VLOOKUP(K94,'[1]list PIC'!C:E,2,0)</f>
        <v>Evaningsih M</v>
      </c>
      <c r="M94" s="50" t="s">
        <v>725</v>
      </c>
      <c r="N94" s="22" t="s">
        <v>234</v>
      </c>
      <c r="O94" s="51" t="str">
        <f>VLOOKUP(N94,'[1]list PIC'!C:E,2,0)</f>
        <v>Dedi Kurniawan P</v>
      </c>
      <c r="P94" s="51" t="str">
        <f>VLOOKUP(N94,'[1]list PIC'!C:E,3,0)</f>
        <v>PPC JMGR</v>
      </c>
      <c r="Q94" s="52"/>
      <c r="R94" s="52"/>
      <c r="S94" s="52"/>
      <c r="T94" s="52"/>
      <c r="U94" s="52"/>
      <c r="V94" s="52"/>
      <c r="W94" s="52"/>
      <c r="X94" s="52"/>
      <c r="Y94" s="52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ht="31" x14ac:dyDescent="0.35">
      <c r="A95" s="9">
        <v>93</v>
      </c>
      <c r="B95" s="106"/>
      <c r="C95" s="32" t="s">
        <v>286</v>
      </c>
      <c r="D95" s="4" t="s">
        <v>287</v>
      </c>
      <c r="E95" s="5" t="s">
        <v>23</v>
      </c>
      <c r="F95" s="6" t="s">
        <v>277</v>
      </c>
      <c r="G95" s="6" t="s">
        <v>288</v>
      </c>
      <c r="H95" s="7" t="s">
        <v>289</v>
      </c>
      <c r="I95" s="50" t="str">
        <f>VLOOKUP(H95,'[1]list PIC'!C:E,2,0)</f>
        <v>Arif Yusuf S</v>
      </c>
      <c r="J95" s="50" t="s">
        <v>732</v>
      </c>
      <c r="K95" s="50" t="s">
        <v>233</v>
      </c>
      <c r="L95" s="50" t="str">
        <f>VLOOKUP(K95,'[1]list PIC'!C:E,2,0)</f>
        <v>Evaningsih M</v>
      </c>
      <c r="M95" s="50" t="s">
        <v>725</v>
      </c>
      <c r="N95" s="50" t="s">
        <v>234</v>
      </c>
      <c r="O95" s="51" t="str">
        <f>VLOOKUP(N95,'[1]list PIC'!C:E,2,0)</f>
        <v>Dedi Kurniawan P</v>
      </c>
      <c r="P95" s="51" t="str">
        <f>VLOOKUP(N95,'[1]list PIC'!C:E,3,0)</f>
        <v>PPC JMGR</v>
      </c>
      <c r="Q95" s="52"/>
      <c r="R95" s="52"/>
      <c r="S95" s="52"/>
      <c r="T95" s="52"/>
      <c r="U95" s="52"/>
      <c r="V95" s="52"/>
      <c r="W95" s="52"/>
      <c r="X95" s="52"/>
      <c r="Y95" s="52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ht="31" x14ac:dyDescent="0.35">
      <c r="A96" s="9">
        <v>94</v>
      </c>
      <c r="B96" s="106"/>
      <c r="C96" s="32" t="s">
        <v>290</v>
      </c>
      <c r="D96" s="6" t="s">
        <v>291</v>
      </c>
      <c r="E96" s="5" t="s">
        <v>23</v>
      </c>
      <c r="F96" s="6" t="s">
        <v>733</v>
      </c>
      <c r="G96" s="6" t="s">
        <v>152</v>
      </c>
      <c r="H96" s="7" t="s">
        <v>153</v>
      </c>
      <c r="I96" s="50" t="str">
        <f>VLOOKUP(H96,'[1]list PIC'!C:E,2,0)</f>
        <v>Lilis Setyowati</v>
      </c>
      <c r="J96" s="50" t="s">
        <v>712</v>
      </c>
      <c r="K96" s="50" t="s">
        <v>154</v>
      </c>
      <c r="L96" s="50" t="str">
        <f>VLOOKUP(K96,'[1]list PIC'!C:E,2,0)</f>
        <v>Umar Fahroni</v>
      </c>
      <c r="M96" s="50" t="s">
        <v>713</v>
      </c>
      <c r="N96" s="50" t="s">
        <v>155</v>
      </c>
      <c r="O96" s="51" t="str">
        <f>VLOOKUP(N96,'[1]list PIC'!C:E,2,0)</f>
        <v>Teguh Wicaksono</v>
      </c>
      <c r="P96" s="51" t="str">
        <f>VLOOKUP(N96,'[1]list PIC'!C:E,3,0)</f>
        <v>NYS MGR</v>
      </c>
      <c r="Q96" s="52"/>
      <c r="R96" s="52"/>
      <c r="S96" s="52"/>
      <c r="T96" s="52"/>
      <c r="U96" s="52"/>
      <c r="V96" s="52"/>
      <c r="W96" s="52"/>
      <c r="X96" s="52"/>
      <c r="Y96" s="52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ht="31" x14ac:dyDescent="0.35">
      <c r="A97" s="9">
        <v>95</v>
      </c>
      <c r="B97" s="106"/>
      <c r="C97" s="33" t="s">
        <v>293</v>
      </c>
      <c r="D97" s="6" t="s">
        <v>294</v>
      </c>
      <c r="E97" s="5" t="s">
        <v>23</v>
      </c>
      <c r="F97" s="6" t="s">
        <v>277</v>
      </c>
      <c r="G97" s="6" t="s">
        <v>231</v>
      </c>
      <c r="H97" s="22" t="s">
        <v>232</v>
      </c>
      <c r="I97" s="50" t="s">
        <v>723</v>
      </c>
      <c r="J97" s="22" t="s">
        <v>724</v>
      </c>
      <c r="K97" s="22" t="s">
        <v>233</v>
      </c>
      <c r="L97" s="50" t="str">
        <f>VLOOKUP(K97,'[1]list PIC'!C:E,2,0)</f>
        <v>Evaningsih M</v>
      </c>
      <c r="M97" s="50" t="s">
        <v>725</v>
      </c>
      <c r="N97" s="22" t="s">
        <v>234</v>
      </c>
      <c r="O97" s="51" t="str">
        <f>VLOOKUP(N97,'[1]list PIC'!C:E,2,0)</f>
        <v>Dedi Kurniawan P</v>
      </c>
      <c r="P97" s="51" t="str">
        <f>VLOOKUP(N97,'[1]list PIC'!C:E,3,0)</f>
        <v>PPC JMGR</v>
      </c>
      <c r="Q97" s="52"/>
      <c r="R97" s="52"/>
      <c r="S97" s="52"/>
      <c r="T97" s="52"/>
      <c r="U97" s="52"/>
      <c r="V97" s="52"/>
      <c r="W97" s="52"/>
      <c r="X97" s="52"/>
      <c r="Y97" s="52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ht="31" x14ac:dyDescent="0.35">
      <c r="A98" s="9">
        <v>96</v>
      </c>
      <c r="B98" s="106"/>
      <c r="C98" s="32" t="s">
        <v>295</v>
      </c>
      <c r="D98" s="4" t="s">
        <v>296</v>
      </c>
      <c r="E98" s="5" t="s">
        <v>29</v>
      </c>
      <c r="F98" s="6" t="s">
        <v>277</v>
      </c>
      <c r="G98" s="6" t="s">
        <v>231</v>
      </c>
      <c r="H98" s="22" t="s">
        <v>232</v>
      </c>
      <c r="I98" s="50" t="s">
        <v>723</v>
      </c>
      <c r="J98" s="22" t="s">
        <v>724</v>
      </c>
      <c r="K98" s="22" t="s">
        <v>233</v>
      </c>
      <c r="L98" s="50" t="str">
        <f>VLOOKUP(K98,'[1]list PIC'!C:E,2,0)</f>
        <v>Evaningsih M</v>
      </c>
      <c r="M98" s="50" t="s">
        <v>725</v>
      </c>
      <c r="N98" s="22" t="s">
        <v>234</v>
      </c>
      <c r="O98" s="51" t="str">
        <f>VLOOKUP(N98,'[1]list PIC'!C:E,2,0)</f>
        <v>Dedi Kurniawan P</v>
      </c>
      <c r="P98" s="51" t="str">
        <f>VLOOKUP(N98,'[1]list PIC'!C:E,3,0)</f>
        <v>PPC JMGR</v>
      </c>
      <c r="Q98" s="52"/>
      <c r="R98" s="52"/>
      <c r="S98" s="52"/>
      <c r="T98" s="52"/>
      <c r="U98" s="52"/>
      <c r="V98" s="52"/>
      <c r="W98" s="52"/>
      <c r="X98" s="52"/>
      <c r="Y98" s="52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ht="31" x14ac:dyDescent="0.35">
      <c r="A99" s="9">
        <v>97</v>
      </c>
      <c r="B99" s="107"/>
      <c r="C99" s="32" t="s">
        <v>297</v>
      </c>
      <c r="D99" s="4" t="s">
        <v>298</v>
      </c>
      <c r="E99" s="15" t="s">
        <v>40</v>
      </c>
      <c r="F99" s="4" t="s">
        <v>277</v>
      </c>
      <c r="G99" s="6" t="s">
        <v>231</v>
      </c>
      <c r="H99" s="22" t="s">
        <v>232</v>
      </c>
      <c r="I99" s="50" t="s">
        <v>723</v>
      </c>
      <c r="J99" s="22" t="s">
        <v>724</v>
      </c>
      <c r="K99" s="22" t="s">
        <v>233</v>
      </c>
      <c r="L99" s="50" t="str">
        <f>VLOOKUP(K99,'[1]list PIC'!C:E,2,0)</f>
        <v>Evaningsih M</v>
      </c>
      <c r="M99" s="50" t="s">
        <v>725</v>
      </c>
      <c r="N99" s="22" t="s">
        <v>234</v>
      </c>
      <c r="O99" s="51" t="str">
        <f>VLOOKUP(N99,'[1]list PIC'!C:E,2,0)</f>
        <v>Dedi Kurniawan P</v>
      </c>
      <c r="P99" s="51" t="str">
        <f>VLOOKUP(N99,'[1]list PIC'!C:E,3,0)</f>
        <v>PPC JMGR</v>
      </c>
      <c r="Q99" s="52"/>
      <c r="R99" s="52"/>
      <c r="S99" s="52"/>
      <c r="T99" s="52"/>
      <c r="U99" s="52"/>
      <c r="V99" s="52"/>
      <c r="W99" s="52"/>
      <c r="X99" s="52"/>
      <c r="Y99" s="52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ht="31" x14ac:dyDescent="0.35">
      <c r="A100" s="9">
        <v>98</v>
      </c>
      <c r="B100" s="54" t="s">
        <v>734</v>
      </c>
      <c r="C100" s="63" t="s">
        <v>299</v>
      </c>
      <c r="D100" s="4" t="s">
        <v>300</v>
      </c>
      <c r="E100" s="5" t="s">
        <v>52</v>
      </c>
      <c r="F100" s="6" t="s">
        <v>301</v>
      </c>
      <c r="G100" s="6" t="s">
        <v>302</v>
      </c>
      <c r="H100" s="7" t="s">
        <v>254</v>
      </c>
      <c r="I100" s="50" t="str">
        <f>VLOOKUP(H100,'[1]list PIC'!C:E,2,0)</f>
        <v>M. Machyudin Rafi</v>
      </c>
      <c r="J100" s="50" t="s">
        <v>735</v>
      </c>
      <c r="K100" s="50" t="s">
        <v>255</v>
      </c>
      <c r="L100" s="50" t="str">
        <f>VLOOKUP(K100,'[1]list PIC'!C:E,2,0)</f>
        <v>M. Riza Aviev</v>
      </c>
      <c r="M100" s="50" t="str">
        <f>VLOOKUP(K100,'[1]list PIC'!C:E,3,0)</f>
        <v>MPC-WHS JMGR</v>
      </c>
      <c r="N100" s="50" t="s">
        <v>255</v>
      </c>
      <c r="O100" s="51" t="str">
        <f>VLOOKUP(N100,'[1]list PIC'!C:E,2,0)</f>
        <v>M. Riza Aviev</v>
      </c>
      <c r="P100" s="51" t="str">
        <f>VLOOKUP(N100,'[1]list PIC'!C:E,3,0)</f>
        <v>MPC-WHS JMGR</v>
      </c>
      <c r="Q100" s="52"/>
      <c r="R100" s="52"/>
      <c r="S100" s="52"/>
      <c r="T100" s="52"/>
      <c r="U100" s="52"/>
      <c r="V100" s="52"/>
      <c r="W100" s="52"/>
      <c r="X100" s="52"/>
      <c r="Y100" s="52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ht="31" x14ac:dyDescent="0.35">
      <c r="A101" s="9">
        <v>99</v>
      </c>
      <c r="B101" s="105" t="s">
        <v>736</v>
      </c>
      <c r="C101" s="32" t="s">
        <v>303</v>
      </c>
      <c r="D101" s="4" t="s">
        <v>304</v>
      </c>
      <c r="E101" s="5" t="s">
        <v>40</v>
      </c>
      <c r="F101" s="6" t="s">
        <v>277</v>
      </c>
      <c r="G101" s="6" t="s">
        <v>231</v>
      </c>
      <c r="H101" s="22" t="s">
        <v>232</v>
      </c>
      <c r="I101" s="50" t="s">
        <v>723</v>
      </c>
      <c r="J101" s="22" t="s">
        <v>724</v>
      </c>
      <c r="K101" s="22" t="s">
        <v>233</v>
      </c>
      <c r="L101" s="50" t="str">
        <f>VLOOKUP(K101,'[1]list PIC'!C:E,2,0)</f>
        <v>Evaningsih M</v>
      </c>
      <c r="M101" s="50" t="s">
        <v>725</v>
      </c>
      <c r="N101" s="22" t="s">
        <v>234</v>
      </c>
      <c r="O101" s="51" t="str">
        <f>VLOOKUP(N101,'[1]list PIC'!C:E,2,0)</f>
        <v>Dedi Kurniawan P</v>
      </c>
      <c r="P101" s="51" t="str">
        <f>VLOOKUP(N101,'[1]list PIC'!C:E,3,0)</f>
        <v>PPC JMGR</v>
      </c>
      <c r="Q101" s="52"/>
      <c r="R101" s="52"/>
      <c r="S101" s="52"/>
      <c r="T101" s="52"/>
      <c r="U101" s="52"/>
      <c r="V101" s="52"/>
      <c r="W101" s="52"/>
      <c r="X101" s="52"/>
      <c r="Y101" s="52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ht="31" x14ac:dyDescent="0.35">
      <c r="A102" s="9">
        <v>100</v>
      </c>
      <c r="B102" s="106"/>
      <c r="C102" s="32" t="s">
        <v>305</v>
      </c>
      <c r="D102" s="4" t="s">
        <v>306</v>
      </c>
      <c r="E102" s="5" t="s">
        <v>76</v>
      </c>
      <c r="F102" s="6" t="s">
        <v>301</v>
      </c>
      <c r="G102" s="6" t="s">
        <v>307</v>
      </c>
      <c r="H102" s="7" t="s">
        <v>308</v>
      </c>
      <c r="I102" s="50" t="str">
        <f>VLOOKUP(H102,'[1]list PIC'!C:E,2,0)</f>
        <v>Dwi Asih S</v>
      </c>
      <c r="J102" s="50" t="str">
        <f>VLOOKUP(H102,'[1]list PIC'!C:E,3,0)</f>
        <v>MPC SPV</v>
      </c>
      <c r="K102" s="50" t="s">
        <v>255</v>
      </c>
      <c r="L102" s="50" t="str">
        <f>VLOOKUP(K102,'[1]list PIC'!C:E,2,0)</f>
        <v>M. Riza Aviev</v>
      </c>
      <c r="M102" s="50" t="str">
        <f>VLOOKUP(K102,'[1]list PIC'!C:E,3,0)</f>
        <v>MPC-WHS JMGR</v>
      </c>
      <c r="N102" s="50" t="s">
        <v>255</v>
      </c>
      <c r="O102" s="51" t="str">
        <f>VLOOKUP(N102,'[1]list PIC'!C:E,2,0)</f>
        <v>M. Riza Aviev</v>
      </c>
      <c r="P102" s="51" t="str">
        <f>VLOOKUP(N102,'[1]list PIC'!C:E,3,0)</f>
        <v>MPC-WHS JMGR</v>
      </c>
      <c r="Q102" s="52"/>
      <c r="R102" s="52"/>
      <c r="S102" s="52"/>
      <c r="T102" s="52"/>
      <c r="U102" s="52"/>
      <c r="V102" s="52"/>
      <c r="W102" s="52"/>
      <c r="X102" s="52"/>
      <c r="Y102" s="52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ht="31" x14ac:dyDescent="0.35">
      <c r="A103" s="9">
        <v>101</v>
      </c>
      <c r="B103" s="106"/>
      <c r="C103" s="32" t="s">
        <v>309</v>
      </c>
      <c r="D103" s="4" t="s">
        <v>310</v>
      </c>
      <c r="E103" s="5" t="s">
        <v>20</v>
      </c>
      <c r="F103" s="6" t="s">
        <v>301</v>
      </c>
      <c r="G103" s="6" t="s">
        <v>302</v>
      </c>
      <c r="H103" s="7" t="s">
        <v>254</v>
      </c>
      <c r="I103" s="50" t="str">
        <f>VLOOKUP(H103,'[1]list PIC'!C:E,2,0)</f>
        <v>M. Machyudin Rafi</v>
      </c>
      <c r="J103" s="50" t="s">
        <v>735</v>
      </c>
      <c r="K103" s="50" t="s">
        <v>255</v>
      </c>
      <c r="L103" s="50" t="str">
        <f>VLOOKUP(K103,'[1]list PIC'!C:E,2,0)</f>
        <v>M. Riza Aviev</v>
      </c>
      <c r="M103" s="50" t="str">
        <f>VLOOKUP(K103,'[1]list PIC'!C:E,3,0)</f>
        <v>MPC-WHS JMGR</v>
      </c>
      <c r="N103" s="50" t="s">
        <v>255</v>
      </c>
      <c r="O103" s="51" t="str">
        <f>VLOOKUP(N103,'[1]list PIC'!C:E,2,0)</f>
        <v>M. Riza Aviev</v>
      </c>
      <c r="P103" s="51" t="str">
        <f>VLOOKUP(N103,'[1]list PIC'!C:E,3,0)</f>
        <v>MPC-WHS JMGR</v>
      </c>
      <c r="Q103" s="52"/>
      <c r="R103" s="52"/>
      <c r="S103" s="52"/>
      <c r="T103" s="52"/>
      <c r="U103" s="52"/>
      <c r="V103" s="52"/>
      <c r="W103" s="52"/>
      <c r="X103" s="52"/>
      <c r="Y103" s="52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ht="31" x14ac:dyDescent="0.35">
      <c r="A104" s="9">
        <v>102</v>
      </c>
      <c r="B104" s="106"/>
      <c r="C104" s="32" t="s">
        <v>311</v>
      </c>
      <c r="D104" s="4" t="s">
        <v>312</v>
      </c>
      <c r="E104" s="5" t="s">
        <v>23</v>
      </c>
      <c r="F104" s="6" t="s">
        <v>301</v>
      </c>
      <c r="G104" s="6" t="s">
        <v>302</v>
      </c>
      <c r="H104" s="7" t="s">
        <v>254</v>
      </c>
      <c r="I104" s="50" t="str">
        <f>VLOOKUP(H104,'[1]list PIC'!C:E,2,0)</f>
        <v>M. Machyudin Rafi</v>
      </c>
      <c r="J104" s="50" t="s">
        <v>735</v>
      </c>
      <c r="K104" s="50" t="s">
        <v>255</v>
      </c>
      <c r="L104" s="50" t="str">
        <f>VLOOKUP(K104,'[1]list PIC'!C:E,2,0)</f>
        <v>M. Riza Aviev</v>
      </c>
      <c r="M104" s="50" t="str">
        <f>VLOOKUP(K104,'[1]list PIC'!C:E,3,0)</f>
        <v>MPC-WHS JMGR</v>
      </c>
      <c r="N104" s="50" t="s">
        <v>255</v>
      </c>
      <c r="O104" s="51" t="str">
        <f>VLOOKUP(N104,'[1]list PIC'!C:E,2,0)</f>
        <v>M. Riza Aviev</v>
      </c>
      <c r="P104" s="51" t="str">
        <f>VLOOKUP(N104,'[1]list PIC'!C:E,3,0)</f>
        <v>MPC-WHS JMGR</v>
      </c>
      <c r="Q104" s="52"/>
      <c r="R104" s="52"/>
      <c r="S104" s="52"/>
      <c r="T104" s="52"/>
      <c r="U104" s="52"/>
      <c r="V104" s="52"/>
      <c r="W104" s="52"/>
      <c r="X104" s="52"/>
      <c r="Y104" s="52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ht="31" x14ac:dyDescent="0.35">
      <c r="A105" s="9">
        <v>103</v>
      </c>
      <c r="B105" s="106"/>
      <c r="C105" s="33" t="s">
        <v>313</v>
      </c>
      <c r="D105" s="4" t="s">
        <v>314</v>
      </c>
      <c r="E105" s="5" t="s">
        <v>20</v>
      </c>
      <c r="F105" s="6" t="s">
        <v>301</v>
      </c>
      <c r="G105" s="6" t="s">
        <v>302</v>
      </c>
      <c r="H105" s="7" t="s">
        <v>254</v>
      </c>
      <c r="I105" s="50" t="str">
        <f>VLOOKUP(H105,'[1]list PIC'!C:E,2,0)</f>
        <v>M. Machyudin Rafi</v>
      </c>
      <c r="J105" s="50" t="s">
        <v>735</v>
      </c>
      <c r="K105" s="50" t="s">
        <v>255</v>
      </c>
      <c r="L105" s="50" t="str">
        <f>VLOOKUP(K105,'[1]list PIC'!C:E,2,0)</f>
        <v>M. Riza Aviev</v>
      </c>
      <c r="M105" s="50" t="str">
        <f>VLOOKUP(K105,'[1]list PIC'!C:E,3,0)</f>
        <v>MPC-WHS JMGR</v>
      </c>
      <c r="N105" s="50" t="s">
        <v>255</v>
      </c>
      <c r="O105" s="51" t="str">
        <f>VLOOKUP(N105,'[1]list PIC'!C:E,2,0)</f>
        <v>M. Riza Aviev</v>
      </c>
      <c r="P105" s="51" t="str">
        <f>VLOOKUP(N105,'[1]list PIC'!C:E,3,0)</f>
        <v>MPC-WHS JMGR</v>
      </c>
      <c r="Q105" s="52"/>
      <c r="R105" s="52"/>
      <c r="S105" s="52"/>
      <c r="T105" s="52"/>
      <c r="U105" s="52"/>
      <c r="V105" s="52"/>
      <c r="W105" s="52"/>
      <c r="X105" s="52"/>
      <c r="Y105" s="52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ht="31" x14ac:dyDescent="0.35">
      <c r="A106" s="9">
        <v>104</v>
      </c>
      <c r="B106" s="106"/>
      <c r="C106" s="32" t="s">
        <v>315</v>
      </c>
      <c r="D106" s="4" t="s">
        <v>316</v>
      </c>
      <c r="E106" s="5" t="s">
        <v>40</v>
      </c>
      <c r="F106" s="6" t="s">
        <v>301</v>
      </c>
      <c r="G106" s="6" t="s">
        <v>302</v>
      </c>
      <c r="H106" s="7" t="s">
        <v>254</v>
      </c>
      <c r="I106" s="50" t="str">
        <f>VLOOKUP(H106,'[1]list PIC'!C:E,2,0)</f>
        <v>M. Machyudin Rafi</v>
      </c>
      <c r="J106" s="50" t="s">
        <v>735</v>
      </c>
      <c r="K106" s="50" t="s">
        <v>255</v>
      </c>
      <c r="L106" s="50" t="str">
        <f>VLOOKUP(K106,'[1]list PIC'!C:E,2,0)</f>
        <v>M. Riza Aviev</v>
      </c>
      <c r="M106" s="50" t="str">
        <f>VLOOKUP(K106,'[1]list PIC'!C:E,3,0)</f>
        <v>MPC-WHS JMGR</v>
      </c>
      <c r="N106" s="50" t="s">
        <v>255</v>
      </c>
      <c r="O106" s="51" t="str">
        <f>VLOOKUP(N106,'[1]list PIC'!C:E,2,0)</f>
        <v>M. Riza Aviev</v>
      </c>
      <c r="P106" s="51" t="str">
        <f>VLOOKUP(N106,'[1]list PIC'!C:E,3,0)</f>
        <v>MPC-WHS JMGR</v>
      </c>
      <c r="Q106" s="52"/>
      <c r="R106" s="52"/>
      <c r="S106" s="52"/>
      <c r="T106" s="52"/>
      <c r="U106" s="52"/>
      <c r="V106" s="52"/>
      <c r="W106" s="52"/>
      <c r="X106" s="52"/>
      <c r="Y106" s="52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ht="31" x14ac:dyDescent="0.35">
      <c r="A107" s="9">
        <v>105</v>
      </c>
      <c r="B107" s="106"/>
      <c r="C107" s="33" t="s">
        <v>317</v>
      </c>
      <c r="D107" s="4" t="s">
        <v>318</v>
      </c>
      <c r="E107" s="5" t="s">
        <v>76</v>
      </c>
      <c r="F107" s="6" t="s">
        <v>301</v>
      </c>
      <c r="G107" s="6" t="s">
        <v>302</v>
      </c>
      <c r="H107" s="7" t="s">
        <v>254</v>
      </c>
      <c r="I107" s="50" t="str">
        <f>VLOOKUP(H107,'[1]list PIC'!C:E,2,0)</f>
        <v>M. Machyudin Rafi</v>
      </c>
      <c r="J107" s="50" t="s">
        <v>735</v>
      </c>
      <c r="K107" s="50" t="s">
        <v>255</v>
      </c>
      <c r="L107" s="50" t="str">
        <f>VLOOKUP(K107,'[1]list PIC'!C:E,2,0)</f>
        <v>M. Riza Aviev</v>
      </c>
      <c r="M107" s="50" t="str">
        <f>VLOOKUP(K107,'[1]list PIC'!C:E,3,0)</f>
        <v>MPC-WHS JMGR</v>
      </c>
      <c r="N107" s="50" t="s">
        <v>255</v>
      </c>
      <c r="O107" s="51" t="str">
        <f>VLOOKUP(N107,'[1]list PIC'!C:E,2,0)</f>
        <v>M. Riza Aviev</v>
      </c>
      <c r="P107" s="51" t="str">
        <f>VLOOKUP(N107,'[1]list PIC'!C:E,3,0)</f>
        <v>MPC-WHS JMGR</v>
      </c>
      <c r="Q107" s="52"/>
      <c r="R107" s="52"/>
      <c r="S107" s="52"/>
      <c r="T107" s="52"/>
      <c r="U107" s="52"/>
      <c r="V107" s="52"/>
      <c r="W107" s="52"/>
      <c r="X107" s="52"/>
      <c r="Y107" s="52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ht="31" x14ac:dyDescent="0.35">
      <c r="A108" s="9">
        <v>106</v>
      </c>
      <c r="B108" s="106"/>
      <c r="C108" s="32" t="s">
        <v>319</v>
      </c>
      <c r="D108" s="6" t="s">
        <v>320</v>
      </c>
      <c r="E108" s="5" t="s">
        <v>76</v>
      </c>
      <c r="F108" s="6" t="s">
        <v>301</v>
      </c>
      <c r="G108" s="6" t="s">
        <v>307</v>
      </c>
      <c r="H108" s="7" t="s">
        <v>308</v>
      </c>
      <c r="I108" s="50" t="str">
        <f>VLOOKUP(H108,'[1]list PIC'!C:E,2,0)</f>
        <v>Dwi Asih S</v>
      </c>
      <c r="J108" s="50" t="str">
        <f>VLOOKUP(H108,'[1]list PIC'!C:E,3,0)</f>
        <v>MPC SPV</v>
      </c>
      <c r="K108" s="50" t="s">
        <v>255</v>
      </c>
      <c r="L108" s="50" t="str">
        <f>VLOOKUP(K108,'[1]list PIC'!C:E,2,0)</f>
        <v>M. Riza Aviev</v>
      </c>
      <c r="M108" s="50" t="str">
        <f>VLOOKUP(K108,'[1]list PIC'!C:E,3,0)</f>
        <v>MPC-WHS JMGR</v>
      </c>
      <c r="N108" s="50" t="s">
        <v>255</v>
      </c>
      <c r="O108" s="51" t="str">
        <f>VLOOKUP(N108,'[1]list PIC'!C:E,2,0)</f>
        <v>M. Riza Aviev</v>
      </c>
      <c r="P108" s="51" t="str">
        <f>VLOOKUP(N108,'[1]list PIC'!C:E,3,0)</f>
        <v>MPC-WHS JMGR</v>
      </c>
      <c r="Q108" s="52"/>
      <c r="R108" s="52"/>
      <c r="S108" s="52"/>
      <c r="T108" s="52"/>
      <c r="U108" s="52"/>
      <c r="V108" s="52"/>
      <c r="W108" s="52"/>
      <c r="X108" s="52"/>
      <c r="Y108" s="52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ht="31" x14ac:dyDescent="0.35">
      <c r="A109" s="9">
        <v>107</v>
      </c>
      <c r="B109" s="106"/>
      <c r="C109" s="32" t="s">
        <v>321</v>
      </c>
      <c r="D109" s="4" t="s">
        <v>322</v>
      </c>
      <c r="E109" s="5" t="s">
        <v>23</v>
      </c>
      <c r="F109" s="6" t="s">
        <v>301</v>
      </c>
      <c r="G109" s="6" t="s">
        <v>302</v>
      </c>
      <c r="H109" s="7" t="s">
        <v>254</v>
      </c>
      <c r="I109" s="50" t="str">
        <f>VLOOKUP(H109,'[1]list PIC'!C:E,2,0)</f>
        <v>M. Machyudin Rafi</v>
      </c>
      <c r="J109" s="50" t="s">
        <v>735</v>
      </c>
      <c r="K109" s="50" t="s">
        <v>255</v>
      </c>
      <c r="L109" s="50" t="str">
        <f>VLOOKUP(K109,'[1]list PIC'!C:E,2,0)</f>
        <v>M. Riza Aviev</v>
      </c>
      <c r="M109" s="50" t="str">
        <f>VLOOKUP(K109,'[1]list PIC'!C:E,3,0)</f>
        <v>MPC-WHS JMGR</v>
      </c>
      <c r="N109" s="50" t="s">
        <v>255</v>
      </c>
      <c r="O109" s="51" t="str">
        <f>VLOOKUP(N109,'[1]list PIC'!C:E,2,0)</f>
        <v>M. Riza Aviev</v>
      </c>
      <c r="P109" s="51" t="str">
        <f>VLOOKUP(N109,'[1]list PIC'!C:E,3,0)</f>
        <v>MPC-WHS JMGR</v>
      </c>
      <c r="Q109" s="52"/>
      <c r="R109" s="52"/>
      <c r="S109" s="52"/>
      <c r="T109" s="52"/>
      <c r="U109" s="52"/>
      <c r="V109" s="52"/>
      <c r="W109" s="52"/>
      <c r="X109" s="52"/>
      <c r="Y109" s="52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ht="31" x14ac:dyDescent="0.35">
      <c r="A110" s="9">
        <v>108</v>
      </c>
      <c r="B110" s="106"/>
      <c r="C110" s="32" t="s">
        <v>323</v>
      </c>
      <c r="D110" s="4" t="s">
        <v>324</v>
      </c>
      <c r="E110" s="5" t="s">
        <v>23</v>
      </c>
      <c r="F110" s="6" t="s">
        <v>301</v>
      </c>
      <c r="G110" s="6" t="s">
        <v>307</v>
      </c>
      <c r="H110" s="7" t="s">
        <v>308</v>
      </c>
      <c r="I110" s="50" t="str">
        <f>VLOOKUP(H110,'[1]list PIC'!C:E,2,0)</f>
        <v>Dwi Asih S</v>
      </c>
      <c r="J110" s="50" t="str">
        <f>VLOOKUP(H110,'[1]list PIC'!C:E,3,0)</f>
        <v>MPC SPV</v>
      </c>
      <c r="K110" s="50" t="s">
        <v>255</v>
      </c>
      <c r="L110" s="50" t="str">
        <f>VLOOKUP(K110,'[1]list PIC'!C:E,2,0)</f>
        <v>M. Riza Aviev</v>
      </c>
      <c r="M110" s="50" t="str">
        <f>VLOOKUP(K110,'[1]list PIC'!C:E,3,0)</f>
        <v>MPC-WHS JMGR</v>
      </c>
      <c r="N110" s="50" t="s">
        <v>255</v>
      </c>
      <c r="O110" s="51" t="str">
        <f>VLOOKUP(N110,'[1]list PIC'!C:E,2,0)</f>
        <v>M. Riza Aviev</v>
      </c>
      <c r="P110" s="51" t="str">
        <f>VLOOKUP(N110,'[1]list PIC'!C:E,3,0)</f>
        <v>MPC-WHS JMGR</v>
      </c>
      <c r="Q110" s="52"/>
      <c r="R110" s="52"/>
      <c r="S110" s="52"/>
      <c r="T110" s="52"/>
      <c r="U110" s="52"/>
      <c r="V110" s="52"/>
      <c r="W110" s="52"/>
      <c r="X110" s="52"/>
      <c r="Y110" s="52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ht="31" x14ac:dyDescent="0.35">
      <c r="A111" s="9">
        <v>109</v>
      </c>
      <c r="B111" s="106"/>
      <c r="C111" s="32" t="s">
        <v>325</v>
      </c>
      <c r="D111" s="4" t="s">
        <v>326</v>
      </c>
      <c r="E111" s="5">
        <v>20</v>
      </c>
      <c r="F111" s="6" t="s">
        <v>327</v>
      </c>
      <c r="G111" s="6" t="s">
        <v>328</v>
      </c>
      <c r="H111" s="7" t="s">
        <v>329</v>
      </c>
      <c r="I111" s="50" t="str">
        <f>VLOOKUP(H111,'[1]list PIC'!C:E,2,0)</f>
        <v>Elfira Hertanti</v>
      </c>
      <c r="J111" s="50" t="s">
        <v>737</v>
      </c>
      <c r="K111" s="50" t="s">
        <v>330</v>
      </c>
      <c r="L111" s="50" t="str">
        <f>VLOOKUP(K111,'[1]list PIC'!C:E,2,0)</f>
        <v>Yuli Fikriyah</v>
      </c>
      <c r="M111" s="50" t="s">
        <v>738</v>
      </c>
      <c r="N111" s="50" t="s">
        <v>331</v>
      </c>
      <c r="O111" s="51" t="str">
        <f>VLOOKUP(N111,'[1]list PIC'!C:E,2,0)</f>
        <v>Dedy Hariawan</v>
      </c>
      <c r="P111" s="51" t="str">
        <f>VLOOKUP(N111,'[1]list PIC'!C:E,3,0)</f>
        <v>FATP-EXIM JMGR</v>
      </c>
      <c r="Q111" s="52"/>
      <c r="R111" s="52"/>
      <c r="S111" s="52"/>
      <c r="T111" s="52"/>
      <c r="U111" s="52"/>
      <c r="V111" s="52"/>
      <c r="W111" s="52"/>
      <c r="X111" s="52"/>
      <c r="Y111" s="52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ht="31" x14ac:dyDescent="0.35">
      <c r="A112" s="9">
        <v>110</v>
      </c>
      <c r="B112" s="106"/>
      <c r="C112" s="33" t="s">
        <v>332</v>
      </c>
      <c r="D112" s="4" t="s">
        <v>333</v>
      </c>
      <c r="E112" s="5" t="s">
        <v>29</v>
      </c>
      <c r="F112" s="6" t="s">
        <v>301</v>
      </c>
      <c r="G112" s="6" t="s">
        <v>302</v>
      </c>
      <c r="H112" s="7" t="s">
        <v>254</v>
      </c>
      <c r="I112" s="50" t="str">
        <f>VLOOKUP(H112,'[1]list PIC'!C:E,2,0)</f>
        <v>M. Machyudin Rafi</v>
      </c>
      <c r="J112" s="50" t="s">
        <v>735</v>
      </c>
      <c r="K112" s="50" t="s">
        <v>255</v>
      </c>
      <c r="L112" s="50" t="str">
        <f>VLOOKUP(K112,'[1]list PIC'!C:E,2,0)</f>
        <v>M. Riza Aviev</v>
      </c>
      <c r="M112" s="50" t="str">
        <f>VLOOKUP(K112,'[1]list PIC'!C:E,3,0)</f>
        <v>MPC-WHS JMGR</v>
      </c>
      <c r="N112" s="50" t="s">
        <v>255</v>
      </c>
      <c r="O112" s="51" t="str">
        <f>VLOOKUP(N112,'[1]list PIC'!C:E,2,0)</f>
        <v>M. Riza Aviev</v>
      </c>
      <c r="P112" s="51" t="str">
        <f>VLOOKUP(N112,'[1]list PIC'!C:E,3,0)</f>
        <v>MPC-WHS JMGR</v>
      </c>
      <c r="Q112" s="52"/>
      <c r="R112" s="52"/>
      <c r="S112" s="52"/>
      <c r="T112" s="52"/>
      <c r="U112" s="52"/>
      <c r="V112" s="52"/>
      <c r="W112" s="52"/>
      <c r="X112" s="52"/>
      <c r="Y112" s="52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2" ht="31" x14ac:dyDescent="0.35">
      <c r="A113" s="9">
        <v>111</v>
      </c>
      <c r="B113" s="106"/>
      <c r="C113" s="33" t="s">
        <v>334</v>
      </c>
      <c r="D113" s="6" t="s">
        <v>335</v>
      </c>
      <c r="E113" s="5">
        <v>10</v>
      </c>
      <c r="F113" s="6" t="s">
        <v>336</v>
      </c>
      <c r="G113" s="6" t="s">
        <v>337</v>
      </c>
      <c r="H113" s="7" t="s">
        <v>338</v>
      </c>
      <c r="I113" s="50" t="str">
        <f>VLOOKUP(H113,'[1]list PIC'!C:E,2,0)</f>
        <v>Riska Oktavita</v>
      </c>
      <c r="J113" s="50" t="s">
        <v>739</v>
      </c>
      <c r="K113" s="56" t="s">
        <v>71</v>
      </c>
      <c r="L113" s="50" t="str">
        <f>VLOOKUP(K113,'[1]list PIC'!C:E,2,0)</f>
        <v>Cahyo Adi Nugroho</v>
      </c>
      <c r="M113" s="50" t="s">
        <v>708</v>
      </c>
      <c r="N113" s="56" t="s">
        <v>71</v>
      </c>
      <c r="O113" s="51" t="str">
        <f>VLOOKUP(N113,'[1]list PIC'!C:E,2,0)</f>
        <v>Cahyo Adi Nugroho</v>
      </c>
      <c r="P113" s="51" t="str">
        <f>VLOOKUP(N113,'[1]list PIC'!C:E,3,0)</f>
        <v>PGA SMGR</v>
      </c>
      <c r="Q113" s="52"/>
      <c r="R113" s="52"/>
      <c r="S113" s="52"/>
      <c r="T113" s="52"/>
      <c r="U113" s="52"/>
      <c r="V113" s="52"/>
      <c r="W113" s="52"/>
      <c r="X113" s="52"/>
      <c r="Y113" s="52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2" ht="31" x14ac:dyDescent="0.35">
      <c r="A114" s="9">
        <v>112</v>
      </c>
      <c r="B114" s="106"/>
      <c r="C114" s="32" t="s">
        <v>339</v>
      </c>
      <c r="D114" s="4" t="s">
        <v>340</v>
      </c>
      <c r="E114" s="5" t="s">
        <v>29</v>
      </c>
      <c r="F114" s="6" t="s">
        <v>301</v>
      </c>
      <c r="G114" s="6" t="s">
        <v>302</v>
      </c>
      <c r="H114" s="7" t="s">
        <v>254</v>
      </c>
      <c r="I114" s="50" t="str">
        <f>VLOOKUP(H114,'[1]list PIC'!C:E,2,0)</f>
        <v>M. Machyudin Rafi</v>
      </c>
      <c r="J114" s="50" t="s">
        <v>735</v>
      </c>
      <c r="K114" s="50" t="s">
        <v>255</v>
      </c>
      <c r="L114" s="50" t="str">
        <f>VLOOKUP(K114,'[1]list PIC'!C:E,2,0)</f>
        <v>M. Riza Aviev</v>
      </c>
      <c r="M114" s="50" t="str">
        <f>VLOOKUP(K114,'[1]list PIC'!C:E,3,0)</f>
        <v>MPC-WHS JMGR</v>
      </c>
      <c r="N114" s="50" t="s">
        <v>255</v>
      </c>
      <c r="O114" s="51" t="str">
        <f>VLOOKUP(N114,'[1]list PIC'!C:E,2,0)</f>
        <v>M. Riza Aviev</v>
      </c>
      <c r="P114" s="51" t="str">
        <f>VLOOKUP(N114,'[1]list PIC'!C:E,3,0)</f>
        <v>MPC-WHS JMGR</v>
      </c>
      <c r="Q114" s="52"/>
      <c r="R114" s="52"/>
      <c r="S114" s="52"/>
      <c r="T114" s="52"/>
      <c r="U114" s="52"/>
      <c r="V114" s="52"/>
      <c r="W114" s="52"/>
      <c r="X114" s="52"/>
      <c r="Y114" s="52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2" ht="31" x14ac:dyDescent="0.35">
      <c r="A115" s="9">
        <v>113</v>
      </c>
      <c r="B115" s="106"/>
      <c r="C115" s="33" t="s">
        <v>341</v>
      </c>
      <c r="D115" s="6" t="s">
        <v>342</v>
      </c>
      <c r="E115" s="5">
        <v>13</v>
      </c>
      <c r="F115" s="6" t="s">
        <v>336</v>
      </c>
      <c r="G115" s="6" t="s">
        <v>337</v>
      </c>
      <c r="H115" s="7" t="s">
        <v>338</v>
      </c>
      <c r="I115" s="50" t="str">
        <f>VLOOKUP(H115,'[1]list PIC'!C:E,2,0)</f>
        <v>Riska Oktavita</v>
      </c>
      <c r="J115" s="50" t="s">
        <v>739</v>
      </c>
      <c r="K115" s="56" t="s">
        <v>71</v>
      </c>
      <c r="L115" s="50" t="str">
        <f>VLOOKUP(K115,'[1]list PIC'!C:E,2,0)</f>
        <v>Cahyo Adi Nugroho</v>
      </c>
      <c r="M115" s="50" t="s">
        <v>708</v>
      </c>
      <c r="N115" s="56" t="s">
        <v>71</v>
      </c>
      <c r="O115" s="51" t="str">
        <f>VLOOKUP(N115,'[1]list PIC'!C:E,2,0)</f>
        <v>Cahyo Adi Nugroho</v>
      </c>
      <c r="P115" s="51" t="str">
        <f>VLOOKUP(N115,'[1]list PIC'!C:E,3,0)</f>
        <v>PGA SMGR</v>
      </c>
      <c r="Q115" s="52"/>
      <c r="R115" s="52"/>
      <c r="S115" s="52"/>
      <c r="T115" s="52"/>
      <c r="U115" s="52"/>
      <c r="V115" s="52"/>
      <c r="W115" s="52"/>
      <c r="X115" s="52"/>
      <c r="Y115" s="52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2" ht="31" x14ac:dyDescent="0.35">
      <c r="A116" s="9">
        <v>114</v>
      </c>
      <c r="B116" s="106"/>
      <c r="C116" s="33" t="s">
        <v>343</v>
      </c>
      <c r="D116" s="4" t="s">
        <v>344</v>
      </c>
      <c r="E116" s="5">
        <v>11</v>
      </c>
      <c r="F116" s="6" t="s">
        <v>345</v>
      </c>
      <c r="G116" s="29" t="s">
        <v>346</v>
      </c>
      <c r="H116" s="7" t="s">
        <v>338</v>
      </c>
      <c r="I116" s="50" t="str">
        <f>VLOOKUP(H116,'[1]list PIC'!C:E,2,0)</f>
        <v>Riska Oktavita</v>
      </c>
      <c r="J116" s="50" t="s">
        <v>739</v>
      </c>
      <c r="K116" s="56" t="s">
        <v>71</v>
      </c>
      <c r="L116" s="50" t="str">
        <f>VLOOKUP(K116,'[1]list PIC'!C:E,2,0)</f>
        <v>Cahyo Adi Nugroho</v>
      </c>
      <c r="M116" s="50" t="s">
        <v>708</v>
      </c>
      <c r="N116" s="56" t="s">
        <v>71</v>
      </c>
      <c r="O116" s="51" t="str">
        <f>VLOOKUP(N116,'[1]list PIC'!C:E,2,0)</f>
        <v>Cahyo Adi Nugroho</v>
      </c>
      <c r="P116" s="51" t="str">
        <f>VLOOKUP(N116,'[1]list PIC'!C:E,3,0)</f>
        <v>PGA SMGR</v>
      </c>
      <c r="Q116" s="56" t="s">
        <v>329</v>
      </c>
      <c r="R116" s="51" t="str">
        <f>VLOOKUP(Q116,'[1]list PIC'!C:E,2,0)</f>
        <v>Elfira Hertanti</v>
      </c>
      <c r="S116" s="51" t="str">
        <f>VLOOKUP(Q116,'[1]list PIC'!C:E,3,0)</f>
        <v>FATP JSPV</v>
      </c>
      <c r="T116" s="56" t="s">
        <v>330</v>
      </c>
      <c r="U116" s="56" t="str">
        <f>VLOOKUP(T116,'[1]list PIC'!C:E,2,0)</f>
        <v>Yuli Fikriyah</v>
      </c>
      <c r="V116" s="56" t="str">
        <f>VLOOKUP(T116,'[1]list PIC'!C:E,3,0)</f>
        <v>FATP SSPV</v>
      </c>
      <c r="W116" s="56" t="s">
        <v>331</v>
      </c>
      <c r="X116" s="64" t="str">
        <f>VLOOKUP(W116,'[1]list PIC'!C:E,2,0)</f>
        <v>Dedy Hariawan</v>
      </c>
      <c r="Y116" s="64" t="str">
        <f>VLOOKUP(W116,'[1]list PIC'!C:E,3,0)</f>
        <v>FATP-EXIM JMGR</v>
      </c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2" ht="46.5" x14ac:dyDescent="0.35">
      <c r="A117" s="9">
        <v>115</v>
      </c>
      <c r="B117" s="107"/>
      <c r="C117" s="33" t="s">
        <v>347</v>
      </c>
      <c r="D117" s="4" t="s">
        <v>348</v>
      </c>
      <c r="E117" s="5" t="s">
        <v>29</v>
      </c>
      <c r="F117" s="29" t="s">
        <v>349</v>
      </c>
      <c r="G117" s="57" t="s">
        <v>350</v>
      </c>
      <c r="H117" s="7" t="s">
        <v>13</v>
      </c>
      <c r="I117" s="50" t="str">
        <f>VLOOKUP(H117,'[1]list PIC'!C:E,2,0)</f>
        <v>Ika Yuni SR</v>
      </c>
      <c r="J117" s="50" t="s">
        <v>682</v>
      </c>
      <c r="K117" s="50" t="s">
        <v>14</v>
      </c>
      <c r="L117" s="50" t="str">
        <f>VLOOKUP(K117,'[1]list PIC'!C:E,2,0)</f>
        <v>Teguh Sunjoyo</v>
      </c>
      <c r="M117" s="50" t="s">
        <v>683</v>
      </c>
      <c r="N117" s="50" t="s">
        <v>14</v>
      </c>
      <c r="O117" s="51" t="str">
        <f>VLOOKUP(N117,'[1]list PIC'!C:E,2,0)</f>
        <v>Teguh Sunjoyo</v>
      </c>
      <c r="P117" s="51" t="str">
        <f>VLOOKUP(N117,'[1]list PIC'!C:E,3,0)</f>
        <v>DFM</v>
      </c>
      <c r="Q117" s="50" t="s">
        <v>351</v>
      </c>
      <c r="R117" s="50" t="str">
        <f>VLOOKUP(Q117,'[1]list PIC'!C:E,2,0)</f>
        <v>Hayu Prasetyo U</v>
      </c>
      <c r="S117" s="50" t="str">
        <f>VLOOKUP(Q117,'[1]list PIC'!C:E,3,0)</f>
        <v>PGA SSPV</v>
      </c>
      <c r="T117" s="50" t="s">
        <v>71</v>
      </c>
      <c r="U117" s="50" t="str">
        <f>VLOOKUP(T117,'[1]list PIC'!C:E,2,0)</f>
        <v>Cahyo Adi Nugroho</v>
      </c>
      <c r="V117" s="50" t="str">
        <f>VLOOKUP(T117,'[1]list PIC'!C:E,3,0)</f>
        <v>PGA SMGR</v>
      </c>
      <c r="W117" s="50" t="s">
        <v>71</v>
      </c>
      <c r="X117" s="51" t="str">
        <f>VLOOKUP(W117,'[1]list PIC'!C:E,2,0)</f>
        <v>Cahyo Adi Nugroho</v>
      </c>
      <c r="Y117" s="51" t="str">
        <f>VLOOKUP(W117,'[1]list PIC'!C:E,3,0)</f>
        <v>PGA SMGR</v>
      </c>
      <c r="Z117" s="50" t="s">
        <v>79</v>
      </c>
      <c r="AA117" s="50" t="str">
        <f>VLOOKUP(Z117,'[1]list PIC'!C:E,2,0)</f>
        <v>Atiek Sriwahyuni</v>
      </c>
      <c r="AB117" s="50" t="str">
        <f>VLOOKUP(Z117,'[1]list PIC'!C:E,3,0)</f>
        <v>QA SPV</v>
      </c>
      <c r="AC117" s="50" t="s">
        <v>44</v>
      </c>
      <c r="AD117" s="50" t="str">
        <f>VLOOKUP(AC117,'[1]list PIC'!C:E,2,0)</f>
        <v>Toni Wijaya</v>
      </c>
      <c r="AE117" s="50" t="str">
        <f>VLOOKUP(AC117,'[1]list PIC'!C:E,3,0)</f>
        <v>QA SSPV</v>
      </c>
      <c r="AF117" s="50" t="s">
        <v>45</v>
      </c>
      <c r="AG117" s="50" t="str">
        <f>VLOOKUP(AF117,'[1]list PIC'!C:E,2,0)</f>
        <v>Evis Methawan</v>
      </c>
      <c r="AH117" s="50" t="str">
        <f>VLOOKUP(AF117,'[1]list PIC'!C:E,3,0)</f>
        <v>QA MGR</v>
      </c>
      <c r="AI117" s="50" t="s">
        <v>308</v>
      </c>
      <c r="AJ117" s="50" t="str">
        <f>VLOOKUP(AI117,'[1]list PIC'!C:E,2,0)</f>
        <v>Dwi Asih S</v>
      </c>
      <c r="AK117" s="50" t="str">
        <f>VLOOKUP(AI117,'[1]list PIC'!C:E,3,0)</f>
        <v>MPC SPV</v>
      </c>
      <c r="AL117" s="50" t="s">
        <v>255</v>
      </c>
      <c r="AM117" s="50" t="str">
        <f>VLOOKUP(AL117,'[1]list PIC'!C:E,2,0)</f>
        <v>M. Riza Aviev</v>
      </c>
      <c r="AN117" s="50" t="str">
        <f>VLOOKUP(AL117,'[1]list PIC'!C:E,3,0)</f>
        <v>MPC-WHS JMGR</v>
      </c>
      <c r="AO117" s="50" t="s">
        <v>255</v>
      </c>
      <c r="AP117" s="50" t="str">
        <f>VLOOKUP(AO117,'[1]list PIC'!C:E,2,0)</f>
        <v>M. Riza Aviev</v>
      </c>
      <c r="AQ117" s="50" t="str">
        <f>VLOOKUP(AO117,'[1]list PIC'!C:E,3,0)</f>
        <v>MPC-WHS JMGR</v>
      </c>
      <c r="AR117" s="50" t="s">
        <v>329</v>
      </c>
      <c r="AS117" s="50" t="str">
        <f>VLOOKUP(AR117,'[1]list PIC'!C:E,2,0)</f>
        <v>Elfira Hertanti</v>
      </c>
      <c r="AT117" s="50" t="str">
        <f>VLOOKUP(AR117,'[1]list PIC'!C:E,3,0)</f>
        <v>FATP JSPV</v>
      </c>
      <c r="AU117" s="50" t="s">
        <v>330</v>
      </c>
      <c r="AV117" s="50" t="str">
        <f>VLOOKUP(AU117,'[1]list PIC'!C:E,2,0)</f>
        <v>Yuli Fikriyah</v>
      </c>
      <c r="AW117" s="50" t="str">
        <f>VLOOKUP(AU117,'[1]list PIC'!C:E,3,0)</f>
        <v>FATP SSPV</v>
      </c>
      <c r="AX117" s="50" t="s">
        <v>331</v>
      </c>
      <c r="AY117" s="50" t="str">
        <f>VLOOKUP(AX117,'[1]list PIC'!C:E,2,0)</f>
        <v>Dedy Hariawan</v>
      </c>
      <c r="AZ117" s="50" t="str">
        <f>VLOOKUP(AX117,'[1]list PIC'!C:E,3,0)</f>
        <v>FATP-EXIM JMGR</v>
      </c>
    </row>
    <row r="118" spans="1:52" ht="31" x14ac:dyDescent="0.35">
      <c r="A118" s="9">
        <v>116</v>
      </c>
      <c r="B118" s="53" t="s">
        <v>740</v>
      </c>
      <c r="C118" s="33" t="s">
        <v>352</v>
      </c>
      <c r="D118" s="6" t="s">
        <v>353</v>
      </c>
      <c r="E118" s="5" t="s">
        <v>52</v>
      </c>
      <c r="F118" s="6" t="s">
        <v>354</v>
      </c>
      <c r="G118" s="6" t="s">
        <v>355</v>
      </c>
      <c r="H118" s="11" t="s">
        <v>356</v>
      </c>
      <c r="I118" s="50" t="s">
        <v>741</v>
      </c>
      <c r="J118" s="11" t="s">
        <v>742</v>
      </c>
      <c r="K118" s="29" t="s">
        <v>255</v>
      </c>
      <c r="L118" s="50" t="str">
        <f>VLOOKUP(K118,'[1]list PIC'!C:E,2,0)</f>
        <v>M. Riza Aviev</v>
      </c>
      <c r="M118" s="50" t="str">
        <f>VLOOKUP(K118,'[1]list PIC'!C:E,3,0)</f>
        <v>MPC-WHS JMGR</v>
      </c>
      <c r="N118" s="29" t="s">
        <v>255</v>
      </c>
      <c r="O118" s="51" t="str">
        <f>VLOOKUP(N118,'[1]list PIC'!C:E,2,0)</f>
        <v>M. Riza Aviev</v>
      </c>
      <c r="P118" s="51" t="str">
        <f>VLOOKUP(N118,'[1]list PIC'!C:E,3,0)</f>
        <v>MPC-WHS JMGR</v>
      </c>
      <c r="Q118" s="52"/>
      <c r="R118" s="52"/>
      <c r="S118" s="52"/>
      <c r="T118" s="52"/>
      <c r="U118" s="52"/>
      <c r="V118" s="52"/>
      <c r="W118" s="52"/>
      <c r="X118" s="52"/>
      <c r="Y118" s="52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2" ht="31" x14ac:dyDescent="0.35">
      <c r="A119" s="9">
        <v>117</v>
      </c>
      <c r="B119" s="105" t="s">
        <v>743</v>
      </c>
      <c r="C119" s="33" t="s">
        <v>357</v>
      </c>
      <c r="D119" s="6" t="s">
        <v>358</v>
      </c>
      <c r="E119" s="5" t="s">
        <v>17</v>
      </c>
      <c r="F119" s="4" t="s">
        <v>359</v>
      </c>
      <c r="G119" s="6" t="s">
        <v>360</v>
      </c>
      <c r="H119" s="7" t="s">
        <v>253</v>
      </c>
      <c r="I119" s="50" t="str">
        <f>VLOOKUP(H119,'[1]list PIC'!C:E,2,0)</f>
        <v>Sri Sepfi Setyowati</v>
      </c>
      <c r="J119" s="50" t="s">
        <v>727</v>
      </c>
      <c r="K119" s="50" t="s">
        <v>44</v>
      </c>
      <c r="L119" s="50" t="str">
        <f>VLOOKUP(K119,'[1]list PIC'!C:E,2,0)</f>
        <v>Toni Wijaya</v>
      </c>
      <c r="M119" s="50" t="s">
        <v>694</v>
      </c>
      <c r="N119" s="50" t="s">
        <v>45</v>
      </c>
      <c r="O119" s="51" t="str">
        <f>VLOOKUP(N119,'[1]list PIC'!C:E,2,0)</f>
        <v>Evis Methawan</v>
      </c>
      <c r="P119" s="51" t="str">
        <f>VLOOKUP(N119,'[1]list PIC'!C:E,3,0)</f>
        <v>QA MGR</v>
      </c>
      <c r="Q119" s="52"/>
      <c r="R119" s="52"/>
      <c r="S119" s="52"/>
      <c r="T119" s="52"/>
      <c r="U119" s="52"/>
      <c r="V119" s="52"/>
      <c r="W119" s="52"/>
      <c r="X119" s="52"/>
      <c r="Y119" s="52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2" ht="31" x14ac:dyDescent="0.35">
      <c r="A120" s="9">
        <v>118</v>
      </c>
      <c r="B120" s="106"/>
      <c r="C120" s="33" t="s">
        <v>361</v>
      </c>
      <c r="D120" s="4" t="s">
        <v>362</v>
      </c>
      <c r="E120" s="5" t="s">
        <v>40</v>
      </c>
      <c r="F120" s="4" t="s">
        <v>359</v>
      </c>
      <c r="G120" s="6" t="s">
        <v>360</v>
      </c>
      <c r="H120" s="7" t="s">
        <v>253</v>
      </c>
      <c r="I120" s="50" t="str">
        <f>VLOOKUP(H120,'[1]list PIC'!C:E,2,0)</f>
        <v>Sri Sepfi Setyowati</v>
      </c>
      <c r="J120" s="50" t="s">
        <v>727</v>
      </c>
      <c r="K120" s="50" t="s">
        <v>44</v>
      </c>
      <c r="L120" s="50" t="str">
        <f>VLOOKUP(K120,'[1]list PIC'!C:E,2,0)</f>
        <v>Toni Wijaya</v>
      </c>
      <c r="M120" s="50" t="s">
        <v>694</v>
      </c>
      <c r="N120" s="50" t="s">
        <v>45</v>
      </c>
      <c r="O120" s="51" t="str">
        <f>VLOOKUP(N120,'[1]list PIC'!C:E,2,0)</f>
        <v>Evis Methawan</v>
      </c>
      <c r="P120" s="51" t="str">
        <f>VLOOKUP(N120,'[1]list PIC'!C:E,3,0)</f>
        <v>QA MGR</v>
      </c>
      <c r="Q120" s="52"/>
      <c r="R120" s="52"/>
      <c r="S120" s="52"/>
      <c r="T120" s="52"/>
      <c r="U120" s="52"/>
      <c r="V120" s="52"/>
      <c r="W120" s="52"/>
      <c r="X120" s="52"/>
      <c r="Y120" s="52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2" ht="31" x14ac:dyDescent="0.35">
      <c r="A121" s="9">
        <v>119</v>
      </c>
      <c r="B121" s="106"/>
      <c r="C121" s="32" t="s">
        <v>363</v>
      </c>
      <c r="D121" s="4" t="s">
        <v>364</v>
      </c>
      <c r="E121" s="5" t="s">
        <v>20</v>
      </c>
      <c r="F121" s="4" t="s">
        <v>359</v>
      </c>
      <c r="G121" s="6" t="s">
        <v>360</v>
      </c>
      <c r="H121" s="7" t="s">
        <v>253</v>
      </c>
      <c r="I121" s="50" t="str">
        <f>VLOOKUP(H121,'[1]list PIC'!C:E,2,0)</f>
        <v>Sri Sepfi Setyowati</v>
      </c>
      <c r="J121" s="50" t="s">
        <v>727</v>
      </c>
      <c r="K121" s="50" t="s">
        <v>44</v>
      </c>
      <c r="L121" s="50" t="str">
        <f>VLOOKUP(K121,'[1]list PIC'!C:E,2,0)</f>
        <v>Toni Wijaya</v>
      </c>
      <c r="M121" s="50" t="s">
        <v>694</v>
      </c>
      <c r="N121" s="50" t="s">
        <v>45</v>
      </c>
      <c r="O121" s="51" t="str">
        <f>VLOOKUP(N121,'[1]list PIC'!C:E,2,0)</f>
        <v>Evis Methawan</v>
      </c>
      <c r="P121" s="51" t="str">
        <f>VLOOKUP(N121,'[1]list PIC'!C:E,3,0)</f>
        <v>QA MGR</v>
      </c>
      <c r="Q121" s="52"/>
      <c r="R121" s="52"/>
      <c r="S121" s="52"/>
      <c r="T121" s="52"/>
      <c r="U121" s="52"/>
      <c r="V121" s="52"/>
      <c r="W121" s="52"/>
      <c r="X121" s="52"/>
      <c r="Y121" s="52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2" ht="31" x14ac:dyDescent="0.35">
      <c r="A122" s="9">
        <v>120</v>
      </c>
      <c r="B122" s="106"/>
      <c r="C122" s="32" t="s">
        <v>365</v>
      </c>
      <c r="D122" s="6" t="s">
        <v>366</v>
      </c>
      <c r="E122" s="5" t="s">
        <v>23</v>
      </c>
      <c r="F122" s="4" t="s">
        <v>359</v>
      </c>
      <c r="G122" s="6" t="s">
        <v>360</v>
      </c>
      <c r="H122" s="7" t="s">
        <v>253</v>
      </c>
      <c r="I122" s="50" t="str">
        <f>VLOOKUP(H122,'[1]list PIC'!C:E,2,0)</f>
        <v>Sri Sepfi Setyowati</v>
      </c>
      <c r="J122" s="50" t="s">
        <v>727</v>
      </c>
      <c r="K122" s="50" t="s">
        <v>44</v>
      </c>
      <c r="L122" s="50" t="str">
        <f>VLOOKUP(K122,'[1]list PIC'!C:E,2,0)</f>
        <v>Toni Wijaya</v>
      </c>
      <c r="M122" s="50" t="s">
        <v>694</v>
      </c>
      <c r="N122" s="50" t="s">
        <v>45</v>
      </c>
      <c r="O122" s="51" t="str">
        <f>VLOOKUP(N122,'[1]list PIC'!C:E,2,0)</f>
        <v>Evis Methawan</v>
      </c>
      <c r="P122" s="51" t="str">
        <f>VLOOKUP(N122,'[1]list PIC'!C:E,3,0)</f>
        <v>QA MGR</v>
      </c>
      <c r="Q122" s="52"/>
      <c r="R122" s="52"/>
      <c r="S122" s="52"/>
      <c r="T122" s="52"/>
      <c r="U122" s="52"/>
      <c r="V122" s="52"/>
      <c r="W122" s="52"/>
      <c r="X122" s="52"/>
      <c r="Y122" s="52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2" ht="31" x14ac:dyDescent="0.35">
      <c r="A123" s="9">
        <v>121</v>
      </c>
      <c r="B123" s="106"/>
      <c r="C123" s="32" t="s">
        <v>367</v>
      </c>
      <c r="D123" s="6" t="s">
        <v>368</v>
      </c>
      <c r="E123" s="5" t="s">
        <v>23</v>
      </c>
      <c r="F123" s="4" t="s">
        <v>359</v>
      </c>
      <c r="G123" s="6" t="s">
        <v>360</v>
      </c>
      <c r="H123" s="7" t="s">
        <v>253</v>
      </c>
      <c r="I123" s="50" t="str">
        <f>VLOOKUP(H123,'[1]list PIC'!C:E,2,0)</f>
        <v>Sri Sepfi Setyowati</v>
      </c>
      <c r="J123" s="50" t="s">
        <v>727</v>
      </c>
      <c r="K123" s="50" t="s">
        <v>44</v>
      </c>
      <c r="L123" s="50" t="str">
        <f>VLOOKUP(K123,'[1]list PIC'!C:E,2,0)</f>
        <v>Toni Wijaya</v>
      </c>
      <c r="M123" s="50" t="s">
        <v>694</v>
      </c>
      <c r="N123" s="50" t="s">
        <v>45</v>
      </c>
      <c r="O123" s="51" t="str">
        <f>VLOOKUP(N123,'[1]list PIC'!C:E,2,0)</f>
        <v>Evis Methawan</v>
      </c>
      <c r="P123" s="51" t="str">
        <f>VLOOKUP(N123,'[1]list PIC'!C:E,3,0)</f>
        <v>QA MGR</v>
      </c>
      <c r="Q123" s="52"/>
      <c r="R123" s="52"/>
      <c r="S123" s="52"/>
      <c r="T123" s="52"/>
      <c r="U123" s="52"/>
      <c r="V123" s="52"/>
      <c r="W123" s="52"/>
      <c r="X123" s="52"/>
      <c r="Y123" s="52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2" ht="31" x14ac:dyDescent="0.35">
      <c r="A124" s="9">
        <v>122</v>
      </c>
      <c r="B124" s="106"/>
      <c r="C124" s="32" t="s">
        <v>369</v>
      </c>
      <c r="D124" s="4" t="s">
        <v>370</v>
      </c>
      <c r="E124" s="5" t="s">
        <v>76</v>
      </c>
      <c r="F124" s="6" t="s">
        <v>354</v>
      </c>
      <c r="G124" s="6" t="s">
        <v>355</v>
      </c>
      <c r="H124" s="11" t="s">
        <v>356</v>
      </c>
      <c r="I124" s="50" t="s">
        <v>741</v>
      </c>
      <c r="J124" s="11" t="s">
        <v>742</v>
      </c>
      <c r="K124" s="29" t="s">
        <v>255</v>
      </c>
      <c r="L124" s="50" t="str">
        <f>VLOOKUP(K124,'[1]list PIC'!C:E,2,0)</f>
        <v>M. Riza Aviev</v>
      </c>
      <c r="M124" s="50" t="str">
        <f>VLOOKUP(K124,'[1]list PIC'!C:E,3,0)</f>
        <v>MPC-WHS JMGR</v>
      </c>
      <c r="N124" s="29" t="s">
        <v>255</v>
      </c>
      <c r="O124" s="51" t="str">
        <f>VLOOKUP(N124,'[1]list PIC'!C:E,2,0)</f>
        <v>M. Riza Aviev</v>
      </c>
      <c r="P124" s="51" t="str">
        <f>VLOOKUP(N124,'[1]list PIC'!C:E,3,0)</f>
        <v>MPC-WHS JMGR</v>
      </c>
      <c r="Q124" s="52"/>
      <c r="R124" s="52"/>
      <c r="S124" s="52"/>
      <c r="T124" s="52"/>
      <c r="U124" s="52"/>
      <c r="V124" s="52"/>
      <c r="W124" s="52"/>
      <c r="X124" s="52"/>
      <c r="Y124" s="52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2" ht="31" x14ac:dyDescent="0.35">
      <c r="A125" s="9">
        <v>123</v>
      </c>
      <c r="B125" s="106"/>
      <c r="C125" s="65" t="s">
        <v>371</v>
      </c>
      <c r="D125" s="4" t="s">
        <v>372</v>
      </c>
      <c r="E125" s="5">
        <v>11</v>
      </c>
      <c r="F125" s="6" t="s">
        <v>301</v>
      </c>
      <c r="G125" s="6" t="s">
        <v>307</v>
      </c>
      <c r="H125" s="7" t="s">
        <v>308</v>
      </c>
      <c r="I125" s="50" t="str">
        <f>VLOOKUP(H125,'[1]list PIC'!C:E,2,0)</f>
        <v>Dwi Asih S</v>
      </c>
      <c r="J125" s="50" t="str">
        <f>VLOOKUP(H125,'[1]list PIC'!C:E,3,0)</f>
        <v>MPC SPV</v>
      </c>
      <c r="K125" s="50" t="s">
        <v>255</v>
      </c>
      <c r="L125" s="50" t="str">
        <f>VLOOKUP(K125,'[1]list PIC'!C:E,2,0)</f>
        <v>M. Riza Aviev</v>
      </c>
      <c r="M125" s="50" t="str">
        <f>VLOOKUP(K125,'[1]list PIC'!C:E,3,0)</f>
        <v>MPC-WHS JMGR</v>
      </c>
      <c r="N125" s="50" t="s">
        <v>255</v>
      </c>
      <c r="O125" s="51" t="str">
        <f>VLOOKUP(N125,'[1]list PIC'!C:E,2,0)</f>
        <v>M. Riza Aviev</v>
      </c>
      <c r="P125" s="51" t="str">
        <f>VLOOKUP(N125,'[1]list PIC'!C:E,3,0)</f>
        <v>MPC-WHS JMGR</v>
      </c>
      <c r="Q125" s="52"/>
      <c r="R125" s="52"/>
      <c r="S125" s="52"/>
      <c r="T125" s="52"/>
      <c r="U125" s="52"/>
      <c r="V125" s="52"/>
      <c r="W125" s="52"/>
      <c r="X125" s="52"/>
      <c r="Y125" s="52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2" ht="31" x14ac:dyDescent="0.35">
      <c r="A126" s="9">
        <v>124</v>
      </c>
      <c r="B126" s="106"/>
      <c r="C126" s="32" t="s">
        <v>373</v>
      </c>
      <c r="D126" s="4" t="s">
        <v>374</v>
      </c>
      <c r="E126" s="5" t="s">
        <v>23</v>
      </c>
      <c r="F126" s="6" t="s">
        <v>301</v>
      </c>
      <c r="G126" s="6" t="s">
        <v>307</v>
      </c>
      <c r="H126" s="7" t="s">
        <v>308</v>
      </c>
      <c r="I126" s="50" t="str">
        <f>VLOOKUP(H126,'[1]list PIC'!C:E,2,0)</f>
        <v>Dwi Asih S</v>
      </c>
      <c r="J126" s="50" t="str">
        <f>VLOOKUP(H126,'[1]list PIC'!C:E,3,0)</f>
        <v>MPC SPV</v>
      </c>
      <c r="K126" s="50" t="s">
        <v>255</v>
      </c>
      <c r="L126" s="50" t="str">
        <f>VLOOKUP(K126,'[1]list PIC'!C:E,2,0)</f>
        <v>M. Riza Aviev</v>
      </c>
      <c r="M126" s="50" t="str">
        <f>VLOOKUP(K126,'[1]list PIC'!C:E,3,0)</f>
        <v>MPC-WHS JMGR</v>
      </c>
      <c r="N126" s="50" t="s">
        <v>255</v>
      </c>
      <c r="O126" s="51" t="str">
        <f>VLOOKUP(N126,'[1]list PIC'!C:E,2,0)</f>
        <v>M. Riza Aviev</v>
      </c>
      <c r="P126" s="51" t="str">
        <f>VLOOKUP(N126,'[1]list PIC'!C:E,3,0)</f>
        <v>MPC-WHS JMGR</v>
      </c>
      <c r="Q126" s="52"/>
      <c r="R126" s="52"/>
      <c r="S126" s="52"/>
      <c r="T126" s="52"/>
      <c r="U126" s="52"/>
      <c r="V126" s="52"/>
      <c r="W126" s="52"/>
      <c r="X126" s="52"/>
      <c r="Y126" s="52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2" ht="31" x14ac:dyDescent="0.35">
      <c r="A127" s="9">
        <v>125</v>
      </c>
      <c r="B127" s="106"/>
      <c r="C127" s="33" t="s">
        <v>375</v>
      </c>
      <c r="D127" s="6" t="s">
        <v>376</v>
      </c>
      <c r="E127" s="5" t="s">
        <v>20</v>
      </c>
      <c r="F127" s="4" t="s">
        <v>359</v>
      </c>
      <c r="G127" s="6" t="s">
        <v>360</v>
      </c>
      <c r="H127" s="7" t="s">
        <v>253</v>
      </c>
      <c r="I127" s="50" t="str">
        <f>VLOOKUP(H127,'[1]list PIC'!C:E,2,0)</f>
        <v>Sri Sepfi Setyowati</v>
      </c>
      <c r="J127" s="50" t="s">
        <v>727</v>
      </c>
      <c r="K127" s="50" t="s">
        <v>44</v>
      </c>
      <c r="L127" s="50" t="str">
        <f>VLOOKUP(K127,'[1]list PIC'!C:E,2,0)</f>
        <v>Toni Wijaya</v>
      </c>
      <c r="M127" s="50" t="s">
        <v>694</v>
      </c>
      <c r="N127" s="50" t="s">
        <v>45</v>
      </c>
      <c r="O127" s="51" t="str">
        <f>VLOOKUP(N127,'[1]list PIC'!C:E,2,0)</f>
        <v>Evis Methawan</v>
      </c>
      <c r="P127" s="51" t="str">
        <f>VLOOKUP(N127,'[1]list PIC'!C:E,3,0)</f>
        <v>QA MGR</v>
      </c>
      <c r="Q127" s="52"/>
      <c r="R127" s="52"/>
      <c r="S127" s="52"/>
      <c r="T127" s="52"/>
      <c r="U127" s="52"/>
      <c r="V127" s="52"/>
      <c r="W127" s="52"/>
      <c r="X127" s="52"/>
      <c r="Y127" s="52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2" ht="31" x14ac:dyDescent="0.35">
      <c r="A128" s="9">
        <v>126</v>
      </c>
      <c r="B128" s="106"/>
      <c r="C128" s="32" t="s">
        <v>377</v>
      </c>
      <c r="D128" s="6" t="s">
        <v>378</v>
      </c>
      <c r="E128" s="5" t="s">
        <v>76</v>
      </c>
      <c r="F128" s="6" t="s">
        <v>151</v>
      </c>
      <c r="G128" s="6" t="s">
        <v>152</v>
      </c>
      <c r="H128" s="7" t="s">
        <v>153</v>
      </c>
      <c r="I128" s="50" t="str">
        <f>VLOOKUP(H128,'[1]list PIC'!C:E,2,0)</f>
        <v>Lilis Setyowati</v>
      </c>
      <c r="J128" s="50" t="s">
        <v>712</v>
      </c>
      <c r="K128" s="50" t="s">
        <v>154</v>
      </c>
      <c r="L128" s="50" t="str">
        <f>VLOOKUP(K128,'[1]list PIC'!C:E,2,0)</f>
        <v>Umar Fahroni</v>
      </c>
      <c r="M128" s="50" t="s">
        <v>713</v>
      </c>
      <c r="N128" s="50" t="s">
        <v>155</v>
      </c>
      <c r="O128" s="51" t="str">
        <f>VLOOKUP(N128,'[1]list PIC'!C:E,2,0)</f>
        <v>Teguh Wicaksono</v>
      </c>
      <c r="P128" s="51" t="str">
        <f>VLOOKUP(N128,'[1]list PIC'!C:E,3,0)</f>
        <v>NYS MGR</v>
      </c>
      <c r="Q128" s="52"/>
      <c r="R128" s="52"/>
      <c r="S128" s="52"/>
      <c r="T128" s="52"/>
      <c r="U128" s="52"/>
      <c r="V128" s="52"/>
      <c r="W128" s="52"/>
      <c r="X128" s="52"/>
      <c r="Y128" s="52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ht="31" x14ac:dyDescent="0.35">
      <c r="A129" s="9">
        <v>127</v>
      </c>
      <c r="B129" s="106"/>
      <c r="C129" s="33" t="s">
        <v>379</v>
      </c>
      <c r="D129" s="4" t="s">
        <v>380</v>
      </c>
      <c r="E129" s="5" t="s">
        <v>23</v>
      </c>
      <c r="F129" s="6" t="s">
        <v>744</v>
      </c>
      <c r="G129" s="6" t="s">
        <v>355</v>
      </c>
      <c r="H129" s="11" t="s">
        <v>356</v>
      </c>
      <c r="I129" s="50" t="s">
        <v>741</v>
      </c>
      <c r="J129" s="11" t="s">
        <v>742</v>
      </c>
      <c r="K129" s="29" t="s">
        <v>255</v>
      </c>
      <c r="L129" s="50" t="str">
        <f>VLOOKUP(K129,'[1]list PIC'!C:E,2,0)</f>
        <v>M. Riza Aviev</v>
      </c>
      <c r="M129" s="50" t="str">
        <f>VLOOKUP(K129,'[1]list PIC'!C:E,3,0)</f>
        <v>MPC-WHS JMGR</v>
      </c>
      <c r="N129" s="29" t="s">
        <v>255</v>
      </c>
      <c r="O129" s="51" t="str">
        <f>VLOOKUP(N129,'[1]list PIC'!C:E,2,0)</f>
        <v>M. Riza Aviev</v>
      </c>
      <c r="P129" s="51" t="str">
        <f>VLOOKUP(N129,'[1]list PIC'!C:E,3,0)</f>
        <v>MPC-WHS JMGR</v>
      </c>
      <c r="Q129" s="52"/>
      <c r="R129" s="52"/>
      <c r="S129" s="52"/>
      <c r="T129" s="52"/>
      <c r="U129" s="52"/>
      <c r="V129" s="52"/>
      <c r="W129" s="52"/>
      <c r="X129" s="52"/>
      <c r="Y129" s="52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ht="31" x14ac:dyDescent="0.35">
      <c r="A130" s="9">
        <v>128</v>
      </c>
      <c r="B130" s="106"/>
      <c r="C130" s="33" t="s">
        <v>382</v>
      </c>
      <c r="D130" s="4" t="s">
        <v>383</v>
      </c>
      <c r="E130" s="5" t="s">
        <v>40</v>
      </c>
      <c r="F130" s="6" t="s">
        <v>301</v>
      </c>
      <c r="G130" s="6" t="s">
        <v>302</v>
      </c>
      <c r="H130" s="7" t="s">
        <v>254</v>
      </c>
      <c r="I130" s="50" t="str">
        <f>VLOOKUP(H130,'[1]list PIC'!C:E,2,0)</f>
        <v>M. Machyudin Rafi</v>
      </c>
      <c r="J130" s="50" t="s">
        <v>735</v>
      </c>
      <c r="K130" s="50" t="s">
        <v>255</v>
      </c>
      <c r="L130" s="50" t="str">
        <f>VLOOKUP(K130,'[1]list PIC'!C:E,2,0)</f>
        <v>M. Riza Aviev</v>
      </c>
      <c r="M130" s="50" t="str">
        <f>VLOOKUP(K130,'[1]list PIC'!C:E,3,0)</f>
        <v>MPC-WHS JMGR</v>
      </c>
      <c r="N130" s="50" t="s">
        <v>255</v>
      </c>
      <c r="O130" s="51" t="str">
        <f>VLOOKUP(N130,'[1]list PIC'!C:E,2,0)</f>
        <v>M. Riza Aviev</v>
      </c>
      <c r="P130" s="51" t="str">
        <f>VLOOKUP(N130,'[1]list PIC'!C:E,3,0)</f>
        <v>MPC-WHS JMGR</v>
      </c>
      <c r="Q130" s="52"/>
      <c r="R130" s="52"/>
      <c r="S130" s="52"/>
      <c r="T130" s="52"/>
      <c r="U130" s="52"/>
      <c r="V130" s="52"/>
      <c r="W130" s="52"/>
      <c r="X130" s="52"/>
      <c r="Y130" s="52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31" x14ac:dyDescent="0.35">
      <c r="A131" s="9">
        <v>129</v>
      </c>
      <c r="B131" s="106"/>
      <c r="C131" s="33" t="s">
        <v>384</v>
      </c>
      <c r="D131" s="4" t="s">
        <v>385</v>
      </c>
      <c r="E131" s="5" t="s">
        <v>224</v>
      </c>
      <c r="F131" s="4" t="s">
        <v>179</v>
      </c>
      <c r="G131" s="6" t="s">
        <v>180</v>
      </c>
      <c r="H131" s="7" t="s">
        <v>181</v>
      </c>
      <c r="I131" s="50" t="str">
        <f>VLOOKUP(H131,'[1]list PIC'!C:E,2,0)</f>
        <v>Lita Darmawanti</v>
      </c>
      <c r="J131" s="50" t="s">
        <v>716</v>
      </c>
      <c r="K131" s="50" t="s">
        <v>34</v>
      </c>
      <c r="L131" s="50" t="str">
        <f>VLOOKUP(K131,'[1]list PIC'!C:E,2,0)</f>
        <v>Robertus Edy P</v>
      </c>
      <c r="M131" s="50" t="s">
        <v>717</v>
      </c>
      <c r="N131" s="50" t="s">
        <v>34</v>
      </c>
      <c r="O131" s="51" t="str">
        <f>VLOOKUP(N131,'[1]list PIC'!C:E,2,0)</f>
        <v>Robertus Edy P</v>
      </c>
      <c r="P131" s="51" t="str">
        <f>VLOOKUP(N131,'[1]list PIC'!C:E,3,0)</f>
        <v>PROD SMGR</v>
      </c>
      <c r="Q131" s="52"/>
      <c r="R131" s="52"/>
      <c r="S131" s="52"/>
      <c r="T131" s="52"/>
      <c r="U131" s="52"/>
      <c r="V131" s="52"/>
      <c r="W131" s="52"/>
      <c r="X131" s="52"/>
      <c r="Y131" s="52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ht="31" x14ac:dyDescent="0.35">
      <c r="A132" s="9">
        <v>130</v>
      </c>
      <c r="B132" s="106"/>
      <c r="C132" s="33" t="s">
        <v>386</v>
      </c>
      <c r="D132" s="4" t="s">
        <v>387</v>
      </c>
      <c r="E132" s="5" t="s">
        <v>17</v>
      </c>
      <c r="F132" s="6" t="s">
        <v>354</v>
      </c>
      <c r="G132" s="6" t="s">
        <v>355</v>
      </c>
      <c r="H132" s="11" t="s">
        <v>356</v>
      </c>
      <c r="I132" s="50" t="s">
        <v>741</v>
      </c>
      <c r="J132" s="11" t="s">
        <v>742</v>
      </c>
      <c r="K132" s="29" t="s">
        <v>255</v>
      </c>
      <c r="L132" s="50" t="str">
        <f>VLOOKUP(K132,'[1]list PIC'!C:E,2,0)</f>
        <v>M. Riza Aviev</v>
      </c>
      <c r="M132" s="50" t="str">
        <f>VLOOKUP(K132,'[1]list PIC'!C:E,3,0)</f>
        <v>MPC-WHS JMGR</v>
      </c>
      <c r="N132" s="29" t="s">
        <v>255</v>
      </c>
      <c r="O132" s="51" t="str">
        <f>VLOOKUP(N132,'[1]list PIC'!C:E,2,0)</f>
        <v>M. Riza Aviev</v>
      </c>
      <c r="P132" s="51" t="str">
        <f>VLOOKUP(N132,'[1]list PIC'!C:E,3,0)</f>
        <v>MPC-WHS JMGR</v>
      </c>
      <c r="Q132" s="52"/>
      <c r="R132" s="52"/>
      <c r="S132" s="52"/>
      <c r="T132" s="52"/>
      <c r="U132" s="52"/>
      <c r="V132" s="52"/>
      <c r="W132" s="52"/>
      <c r="X132" s="52"/>
      <c r="Y132" s="52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ht="31" x14ac:dyDescent="0.35">
      <c r="A133" s="9">
        <v>131</v>
      </c>
      <c r="B133" s="106"/>
      <c r="C133" s="32" t="s">
        <v>388</v>
      </c>
      <c r="D133" s="6" t="s">
        <v>389</v>
      </c>
      <c r="E133" s="5" t="s">
        <v>194</v>
      </c>
      <c r="F133" s="6" t="s">
        <v>354</v>
      </c>
      <c r="G133" s="6" t="s">
        <v>355</v>
      </c>
      <c r="H133" s="11" t="s">
        <v>356</v>
      </c>
      <c r="I133" s="50" t="s">
        <v>741</v>
      </c>
      <c r="J133" s="11" t="s">
        <v>742</v>
      </c>
      <c r="K133" s="29" t="s">
        <v>255</v>
      </c>
      <c r="L133" s="50" t="str">
        <f>VLOOKUP(K133,'[1]list PIC'!C:E,2,0)</f>
        <v>M. Riza Aviev</v>
      </c>
      <c r="M133" s="50" t="str">
        <f>VLOOKUP(K133,'[1]list PIC'!C:E,3,0)</f>
        <v>MPC-WHS JMGR</v>
      </c>
      <c r="N133" s="29" t="s">
        <v>255</v>
      </c>
      <c r="O133" s="51" t="str">
        <f>VLOOKUP(N133,'[1]list PIC'!C:E,2,0)</f>
        <v>M. Riza Aviev</v>
      </c>
      <c r="P133" s="51" t="str">
        <f>VLOOKUP(N133,'[1]list PIC'!C:E,3,0)</f>
        <v>MPC-WHS JMGR</v>
      </c>
      <c r="Q133" s="52"/>
      <c r="R133" s="52"/>
      <c r="S133" s="52"/>
      <c r="T133" s="52"/>
      <c r="U133" s="52"/>
      <c r="V133" s="52"/>
      <c r="W133" s="52"/>
      <c r="X133" s="52"/>
      <c r="Y133" s="52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ht="31" x14ac:dyDescent="0.35">
      <c r="A134" s="9">
        <v>132</v>
      </c>
      <c r="B134" s="106"/>
      <c r="C134" s="32" t="s">
        <v>390</v>
      </c>
      <c r="D134" s="6" t="s">
        <v>391</v>
      </c>
      <c r="E134" s="5" t="s">
        <v>20</v>
      </c>
      <c r="F134" s="6" t="s">
        <v>151</v>
      </c>
      <c r="G134" s="6" t="s">
        <v>152</v>
      </c>
      <c r="H134" s="7" t="s">
        <v>153</v>
      </c>
      <c r="I134" s="50" t="str">
        <f>VLOOKUP(H134,'[1]list PIC'!C:E,2,0)</f>
        <v>Lilis Setyowati</v>
      </c>
      <c r="J134" s="50" t="s">
        <v>712</v>
      </c>
      <c r="K134" s="50" t="s">
        <v>154</v>
      </c>
      <c r="L134" s="50" t="str">
        <f>VLOOKUP(K134,'[1]list PIC'!C:E,2,0)</f>
        <v>Umar Fahroni</v>
      </c>
      <c r="M134" s="50" t="s">
        <v>713</v>
      </c>
      <c r="N134" s="50" t="s">
        <v>155</v>
      </c>
      <c r="O134" s="51" t="str">
        <f>VLOOKUP(N134,'[1]list PIC'!C:E,2,0)</f>
        <v>Teguh Wicaksono</v>
      </c>
      <c r="P134" s="51" t="str">
        <f>VLOOKUP(N134,'[1]list PIC'!C:E,3,0)</f>
        <v>NYS MGR</v>
      </c>
      <c r="Q134" s="52"/>
      <c r="R134" s="52"/>
      <c r="S134" s="52"/>
      <c r="T134" s="52"/>
      <c r="U134" s="52"/>
      <c r="V134" s="52"/>
      <c r="W134" s="52"/>
      <c r="X134" s="52"/>
      <c r="Y134" s="52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ht="46.5" x14ac:dyDescent="0.35">
      <c r="A135" s="9">
        <v>133</v>
      </c>
      <c r="B135" s="106"/>
      <c r="C135" s="32" t="s">
        <v>392</v>
      </c>
      <c r="D135" s="4" t="s">
        <v>393</v>
      </c>
      <c r="E135" s="5" t="s">
        <v>20</v>
      </c>
      <c r="F135" s="6" t="s">
        <v>30</v>
      </c>
      <c r="G135" s="6" t="s">
        <v>31</v>
      </c>
      <c r="H135" s="11" t="s">
        <v>32</v>
      </c>
      <c r="I135" s="50" t="s">
        <v>687</v>
      </c>
      <c r="J135" s="11" t="s">
        <v>688</v>
      </c>
      <c r="K135" s="55" t="s">
        <v>33</v>
      </c>
      <c r="L135" s="50" t="str">
        <f>VLOOKUP(K135,'[1]list PIC'!C:E,2,0)</f>
        <v>Endang Sriningsih</v>
      </c>
      <c r="M135" s="50" t="s">
        <v>745</v>
      </c>
      <c r="N135" s="50" t="s">
        <v>34</v>
      </c>
      <c r="O135" s="51" t="str">
        <f>VLOOKUP(N135,'[1]list PIC'!C:E,2,0)</f>
        <v>Robertus Edy P</v>
      </c>
      <c r="P135" s="51" t="str">
        <f>VLOOKUP(N135,'[1]list PIC'!C:E,3,0)</f>
        <v>PROD SMGR</v>
      </c>
      <c r="Q135" s="52"/>
      <c r="R135" s="52"/>
      <c r="S135" s="52"/>
      <c r="T135" s="52"/>
      <c r="U135" s="52"/>
      <c r="V135" s="52"/>
      <c r="W135" s="52"/>
      <c r="X135" s="52"/>
      <c r="Y135" s="52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ht="31" x14ac:dyDescent="0.35">
      <c r="A136" s="9">
        <v>134</v>
      </c>
      <c r="B136" s="106"/>
      <c r="C136" s="58" t="s">
        <v>394</v>
      </c>
      <c r="D136" s="4" t="s">
        <v>395</v>
      </c>
      <c r="E136" s="5" t="s">
        <v>23</v>
      </c>
      <c r="F136" s="6" t="s">
        <v>354</v>
      </c>
      <c r="G136" s="6" t="s">
        <v>355</v>
      </c>
      <c r="H136" s="11" t="s">
        <v>356</v>
      </c>
      <c r="I136" s="50" t="s">
        <v>741</v>
      </c>
      <c r="J136" s="11" t="s">
        <v>742</v>
      </c>
      <c r="K136" s="29" t="s">
        <v>255</v>
      </c>
      <c r="L136" s="50" t="str">
        <f>VLOOKUP(K136,'[1]list PIC'!C:E,2,0)</f>
        <v>M. Riza Aviev</v>
      </c>
      <c r="M136" s="50" t="str">
        <f>VLOOKUP(K136,'[1]list PIC'!C:E,3,0)</f>
        <v>MPC-WHS JMGR</v>
      </c>
      <c r="N136" s="29" t="s">
        <v>255</v>
      </c>
      <c r="O136" s="51" t="str">
        <f>VLOOKUP(N136,'[1]list PIC'!C:E,2,0)</f>
        <v>M. Riza Aviev</v>
      </c>
      <c r="P136" s="51" t="str">
        <f>VLOOKUP(N136,'[1]list PIC'!C:E,3,0)</f>
        <v>MPC-WHS JMGR</v>
      </c>
      <c r="Q136" s="52"/>
      <c r="R136" s="52"/>
      <c r="S136" s="52"/>
      <c r="T136" s="52"/>
      <c r="U136" s="52"/>
      <c r="V136" s="52"/>
      <c r="W136" s="52"/>
      <c r="X136" s="52"/>
      <c r="Y136" s="52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ht="31" x14ac:dyDescent="0.35">
      <c r="A137" s="9">
        <v>135</v>
      </c>
      <c r="B137" s="106"/>
      <c r="C137" s="33" t="s">
        <v>396</v>
      </c>
      <c r="D137" s="4" t="s">
        <v>397</v>
      </c>
      <c r="E137" s="5" t="s">
        <v>29</v>
      </c>
      <c r="F137" s="6" t="s">
        <v>301</v>
      </c>
      <c r="G137" s="6" t="s">
        <v>307</v>
      </c>
      <c r="H137" s="7" t="s">
        <v>308</v>
      </c>
      <c r="I137" s="50" t="str">
        <f>VLOOKUP(H137,'[1]list PIC'!C:E,2,0)</f>
        <v>Dwi Asih S</v>
      </c>
      <c r="J137" s="50" t="str">
        <f>VLOOKUP(H137,'[1]list PIC'!C:E,3,0)</f>
        <v>MPC SPV</v>
      </c>
      <c r="K137" s="50" t="s">
        <v>255</v>
      </c>
      <c r="L137" s="50" t="str">
        <f>VLOOKUP(K137,'[1]list PIC'!C:E,2,0)</f>
        <v>M. Riza Aviev</v>
      </c>
      <c r="M137" s="50" t="str">
        <f>VLOOKUP(K137,'[1]list PIC'!C:E,3,0)</f>
        <v>MPC-WHS JMGR</v>
      </c>
      <c r="N137" s="50" t="s">
        <v>255</v>
      </c>
      <c r="O137" s="51" t="str">
        <f>VLOOKUP(N137,'[1]list PIC'!C:E,2,0)</f>
        <v>M. Riza Aviev</v>
      </c>
      <c r="P137" s="51" t="str">
        <f>VLOOKUP(N137,'[1]list PIC'!C:E,3,0)</f>
        <v>MPC-WHS JMGR</v>
      </c>
      <c r="Q137" s="52"/>
      <c r="R137" s="52"/>
      <c r="S137" s="52"/>
      <c r="T137" s="52"/>
      <c r="U137" s="52"/>
      <c r="V137" s="52"/>
      <c r="W137" s="52"/>
      <c r="X137" s="52"/>
      <c r="Y137" s="52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ht="31" x14ac:dyDescent="0.35">
      <c r="A138" s="9">
        <v>136</v>
      </c>
      <c r="B138" s="106"/>
      <c r="C138" s="33" t="s">
        <v>398</v>
      </c>
      <c r="D138" s="4" t="s">
        <v>399</v>
      </c>
      <c r="E138" s="5" t="s">
        <v>224</v>
      </c>
      <c r="F138" s="6" t="s">
        <v>301</v>
      </c>
      <c r="G138" s="6" t="s">
        <v>307</v>
      </c>
      <c r="H138" s="7" t="s">
        <v>308</v>
      </c>
      <c r="I138" s="50" t="str">
        <f>VLOOKUP(H138,'[1]list PIC'!C:E,2,0)</f>
        <v>Dwi Asih S</v>
      </c>
      <c r="J138" s="50" t="str">
        <f>VLOOKUP(H138,'[1]list PIC'!C:E,3,0)</f>
        <v>MPC SPV</v>
      </c>
      <c r="K138" s="50" t="s">
        <v>255</v>
      </c>
      <c r="L138" s="50" t="str">
        <f>VLOOKUP(K138,'[1]list PIC'!C:E,2,0)</f>
        <v>M. Riza Aviev</v>
      </c>
      <c r="M138" s="50" t="str">
        <f>VLOOKUP(K138,'[1]list PIC'!C:E,3,0)</f>
        <v>MPC-WHS JMGR</v>
      </c>
      <c r="N138" s="50" t="s">
        <v>255</v>
      </c>
      <c r="O138" s="51" t="str">
        <f>VLOOKUP(N138,'[1]list PIC'!C:E,2,0)</f>
        <v>M. Riza Aviev</v>
      </c>
      <c r="P138" s="51" t="str">
        <f>VLOOKUP(N138,'[1]list PIC'!C:E,3,0)</f>
        <v>MPC-WHS JMGR</v>
      </c>
      <c r="Q138" s="52"/>
      <c r="R138" s="52"/>
      <c r="S138" s="52"/>
      <c r="T138" s="52"/>
      <c r="U138" s="52"/>
      <c r="V138" s="52"/>
      <c r="W138" s="52"/>
      <c r="X138" s="52"/>
      <c r="Y138" s="52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ht="31" x14ac:dyDescent="0.35">
      <c r="A139" s="9">
        <v>137</v>
      </c>
      <c r="B139" s="106"/>
      <c r="C139" s="33" t="s">
        <v>400</v>
      </c>
      <c r="D139" s="4" t="s">
        <v>401</v>
      </c>
      <c r="E139" s="5" t="s">
        <v>224</v>
      </c>
      <c r="F139" s="6" t="s">
        <v>301</v>
      </c>
      <c r="G139" s="6" t="s">
        <v>307</v>
      </c>
      <c r="H139" s="7" t="s">
        <v>308</v>
      </c>
      <c r="I139" s="50" t="str">
        <f>VLOOKUP(H139,'[1]list PIC'!C:E,2,0)</f>
        <v>Dwi Asih S</v>
      </c>
      <c r="J139" s="50" t="str">
        <f>VLOOKUP(H139,'[1]list PIC'!C:E,3,0)</f>
        <v>MPC SPV</v>
      </c>
      <c r="K139" s="50" t="s">
        <v>255</v>
      </c>
      <c r="L139" s="50" t="str">
        <f>VLOOKUP(K139,'[1]list PIC'!C:E,2,0)</f>
        <v>M. Riza Aviev</v>
      </c>
      <c r="M139" s="50" t="str">
        <f>VLOOKUP(K139,'[1]list PIC'!C:E,3,0)</f>
        <v>MPC-WHS JMGR</v>
      </c>
      <c r="N139" s="50" t="s">
        <v>255</v>
      </c>
      <c r="O139" s="51" t="str">
        <f>VLOOKUP(N139,'[1]list PIC'!C:E,2,0)</f>
        <v>M. Riza Aviev</v>
      </c>
      <c r="P139" s="51" t="str">
        <f>VLOOKUP(N139,'[1]list PIC'!C:E,3,0)</f>
        <v>MPC-WHS JMGR</v>
      </c>
      <c r="Q139" s="52"/>
      <c r="R139" s="52"/>
      <c r="S139" s="52"/>
      <c r="T139" s="52"/>
      <c r="U139" s="52"/>
      <c r="V139" s="52"/>
      <c r="W139" s="52"/>
      <c r="X139" s="52"/>
      <c r="Y139" s="52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ht="31" x14ac:dyDescent="0.35">
      <c r="A140" s="9">
        <v>138</v>
      </c>
      <c r="B140" s="107"/>
      <c r="C140" s="32" t="s">
        <v>402</v>
      </c>
      <c r="D140" s="4" t="s">
        <v>403</v>
      </c>
      <c r="E140" s="5" t="s">
        <v>224</v>
      </c>
      <c r="F140" s="6" t="s">
        <v>354</v>
      </c>
      <c r="G140" s="6" t="s">
        <v>355</v>
      </c>
      <c r="H140" s="11" t="s">
        <v>356</v>
      </c>
      <c r="I140" s="50" t="s">
        <v>741</v>
      </c>
      <c r="J140" s="11" t="s">
        <v>742</v>
      </c>
      <c r="K140" s="29" t="s">
        <v>255</v>
      </c>
      <c r="L140" s="50" t="str">
        <f>VLOOKUP(K140,'[1]list PIC'!C:E,2,0)</f>
        <v>M. Riza Aviev</v>
      </c>
      <c r="M140" s="50" t="str">
        <f>VLOOKUP(K140,'[1]list PIC'!C:E,3,0)</f>
        <v>MPC-WHS JMGR</v>
      </c>
      <c r="N140" s="29" t="s">
        <v>255</v>
      </c>
      <c r="O140" s="51" t="str">
        <f>VLOOKUP(N140,'[1]list PIC'!C:E,2,0)</f>
        <v>M. Riza Aviev</v>
      </c>
      <c r="P140" s="51" t="str">
        <f>VLOOKUP(N140,'[1]list PIC'!C:E,3,0)</f>
        <v>MPC-WHS JMGR</v>
      </c>
      <c r="Q140" s="52"/>
      <c r="R140" s="52"/>
      <c r="S140" s="52"/>
      <c r="T140" s="52"/>
      <c r="U140" s="52"/>
      <c r="V140" s="52"/>
      <c r="W140" s="52"/>
      <c r="X140" s="52"/>
      <c r="Y140" s="52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ht="62" x14ac:dyDescent="0.35">
      <c r="A141" s="9">
        <v>139</v>
      </c>
      <c r="B141" s="53" t="s">
        <v>746</v>
      </c>
      <c r="C141" s="32" t="s">
        <v>404</v>
      </c>
      <c r="D141" s="4" t="s">
        <v>405</v>
      </c>
      <c r="E141" s="5" t="s">
        <v>20</v>
      </c>
      <c r="F141" s="6" t="s">
        <v>406</v>
      </c>
      <c r="G141" s="4" t="s">
        <v>407</v>
      </c>
      <c r="H141" s="7" t="s">
        <v>408</v>
      </c>
      <c r="I141" s="50" t="str">
        <f>VLOOKUP(H141,'[1]list PIC'!C:E,2,0)</f>
        <v>Okti Vitasari</v>
      </c>
      <c r="J141" s="50" t="s">
        <v>689</v>
      </c>
      <c r="K141" s="50" t="s">
        <v>33</v>
      </c>
      <c r="L141" s="50" t="str">
        <f>VLOOKUP(K141,'[1]list PIC'!C:E,2,0)</f>
        <v>Endang Sriningsih</v>
      </c>
      <c r="M141" s="50" t="s">
        <v>745</v>
      </c>
      <c r="N141" s="50" t="s">
        <v>34</v>
      </c>
      <c r="O141" s="51" t="str">
        <f>VLOOKUP(N141,'[1]list PIC'!C:E,2,0)</f>
        <v>Robertus Edy P</v>
      </c>
      <c r="P141" s="51" t="str">
        <f>VLOOKUP(N141,'[1]list PIC'!C:E,3,0)</f>
        <v>PROD SMGR</v>
      </c>
      <c r="Q141" s="11" t="s">
        <v>43</v>
      </c>
      <c r="R141" s="50" t="s">
        <v>692</v>
      </c>
      <c r="S141" s="11" t="s">
        <v>693</v>
      </c>
      <c r="T141" s="50" t="s">
        <v>44</v>
      </c>
      <c r="U141" s="50" t="str">
        <f>VLOOKUP(T141,'[1]list PIC'!C:E,2,0)</f>
        <v>Toni Wijaya</v>
      </c>
      <c r="V141" s="50" t="str">
        <f>VLOOKUP(T141,'[1]list PIC'!C:E,3,0)</f>
        <v>QA SSPV</v>
      </c>
      <c r="W141" s="50" t="s">
        <v>45</v>
      </c>
      <c r="X141" s="51" t="str">
        <f>VLOOKUP(W141,'[1]list PIC'!C:E,2,0)</f>
        <v>Evis Methawan</v>
      </c>
      <c r="Y141" s="51" t="str">
        <f>VLOOKUP(W141,'[1]list PIC'!C:E,3,0)</f>
        <v>QA MGR</v>
      </c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ht="62" x14ac:dyDescent="0.35">
      <c r="A142" s="9">
        <v>140</v>
      </c>
      <c r="B142" s="105" t="s">
        <v>747</v>
      </c>
      <c r="C142" s="33" t="s">
        <v>409</v>
      </c>
      <c r="D142" s="4" t="s">
        <v>410</v>
      </c>
      <c r="E142" s="5" t="s">
        <v>194</v>
      </c>
      <c r="F142" s="6" t="s">
        <v>41</v>
      </c>
      <c r="G142" s="6" t="s">
        <v>42</v>
      </c>
      <c r="H142" s="11" t="s">
        <v>43</v>
      </c>
      <c r="I142" s="50" t="s">
        <v>692</v>
      </c>
      <c r="J142" s="11" t="s">
        <v>693</v>
      </c>
      <c r="K142" s="50" t="s">
        <v>44</v>
      </c>
      <c r="L142" s="50" t="str">
        <f>VLOOKUP(K142,'[1]list PIC'!C:E,2,0)</f>
        <v>Toni Wijaya</v>
      </c>
      <c r="M142" s="50" t="s">
        <v>694</v>
      </c>
      <c r="N142" s="50" t="s">
        <v>45</v>
      </c>
      <c r="O142" s="51" t="str">
        <f>VLOOKUP(N142,'[1]list PIC'!C:E,2,0)</f>
        <v>Evis Methawan</v>
      </c>
      <c r="P142" s="51" t="str">
        <f>VLOOKUP(N142,'[1]list PIC'!C:E,3,0)</f>
        <v>QA MGR</v>
      </c>
      <c r="Q142" s="52"/>
      <c r="R142" s="52"/>
      <c r="S142" s="52"/>
      <c r="T142" s="52"/>
      <c r="U142" s="52"/>
      <c r="V142" s="52"/>
      <c r="W142" s="52"/>
      <c r="X142" s="52"/>
      <c r="Y142" s="52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ht="62" x14ac:dyDescent="0.35">
      <c r="A143" s="9">
        <v>141</v>
      </c>
      <c r="B143" s="106"/>
      <c r="C143" s="32" t="s">
        <v>411</v>
      </c>
      <c r="D143" s="4" t="s">
        <v>412</v>
      </c>
      <c r="E143" s="5" t="s">
        <v>23</v>
      </c>
      <c r="F143" s="6" t="s">
        <v>406</v>
      </c>
      <c r="G143" s="4" t="s">
        <v>407</v>
      </c>
      <c r="H143" s="7" t="s">
        <v>408</v>
      </c>
      <c r="I143" s="50" t="str">
        <f>VLOOKUP(H143,'[1]list PIC'!C:E,2,0)</f>
        <v>Okti Vitasari</v>
      </c>
      <c r="J143" s="50" t="s">
        <v>689</v>
      </c>
      <c r="K143" s="50" t="s">
        <v>33</v>
      </c>
      <c r="L143" s="50" t="str">
        <f>VLOOKUP(K143,'[1]list PIC'!C:E,2,0)</f>
        <v>Endang Sriningsih</v>
      </c>
      <c r="M143" s="50" t="s">
        <v>745</v>
      </c>
      <c r="N143" s="50" t="s">
        <v>34</v>
      </c>
      <c r="O143" s="51" t="str">
        <f>VLOOKUP(N143,'[1]list PIC'!C:E,2,0)</f>
        <v>Robertus Edy P</v>
      </c>
      <c r="P143" s="51" t="str">
        <f>VLOOKUP(N143,'[1]list PIC'!C:E,3,0)</f>
        <v>PROD SMGR</v>
      </c>
      <c r="Q143" s="11" t="s">
        <v>43</v>
      </c>
      <c r="R143" s="50" t="s">
        <v>692</v>
      </c>
      <c r="S143" s="11" t="s">
        <v>693</v>
      </c>
      <c r="T143" s="50" t="s">
        <v>44</v>
      </c>
      <c r="U143" s="50" t="str">
        <f>VLOOKUP(T143,'[1]list PIC'!C:E,2,0)</f>
        <v>Toni Wijaya</v>
      </c>
      <c r="V143" s="50" t="str">
        <f>VLOOKUP(T143,'[1]list PIC'!C:E,3,0)</f>
        <v>QA SSPV</v>
      </c>
      <c r="W143" s="50" t="s">
        <v>45</v>
      </c>
      <c r="X143" s="51" t="str">
        <f>VLOOKUP(W143,'[1]list PIC'!C:E,2,0)</f>
        <v>Evis Methawan</v>
      </c>
      <c r="Y143" s="51" t="str">
        <f>VLOOKUP(W143,'[1]list PIC'!C:E,3,0)</f>
        <v>QA MGR</v>
      </c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ht="62" x14ac:dyDescent="0.35">
      <c r="A144" s="9">
        <v>142</v>
      </c>
      <c r="B144" s="106"/>
      <c r="C144" s="33" t="s">
        <v>413</v>
      </c>
      <c r="D144" s="4" t="s">
        <v>414</v>
      </c>
      <c r="E144" s="5">
        <v>14</v>
      </c>
      <c r="F144" s="6" t="s">
        <v>41</v>
      </c>
      <c r="G144" s="6" t="s">
        <v>42</v>
      </c>
      <c r="H144" s="11" t="s">
        <v>43</v>
      </c>
      <c r="I144" s="50" t="s">
        <v>692</v>
      </c>
      <c r="J144" s="11" t="s">
        <v>693</v>
      </c>
      <c r="K144" s="50" t="s">
        <v>44</v>
      </c>
      <c r="L144" s="50" t="str">
        <f>VLOOKUP(K144,'[1]list PIC'!C:E,2,0)</f>
        <v>Toni Wijaya</v>
      </c>
      <c r="M144" s="50" t="s">
        <v>694</v>
      </c>
      <c r="N144" s="50" t="s">
        <v>45</v>
      </c>
      <c r="O144" s="51" t="str">
        <f>VLOOKUP(N144,'[1]list PIC'!C:E,2,0)</f>
        <v>Evis Methawan</v>
      </c>
      <c r="P144" s="51" t="str">
        <f>VLOOKUP(N144,'[1]list PIC'!C:E,3,0)</f>
        <v>QA MGR</v>
      </c>
      <c r="Q144" s="52"/>
      <c r="R144" s="52"/>
      <c r="S144" s="52"/>
      <c r="T144" s="52"/>
      <c r="U144" s="52"/>
      <c r="V144" s="52"/>
      <c r="W144" s="52"/>
      <c r="X144" s="52"/>
      <c r="Y144" s="52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62" x14ac:dyDescent="0.35">
      <c r="A145" s="9">
        <v>143</v>
      </c>
      <c r="B145" s="106"/>
      <c r="C145" s="33" t="s">
        <v>415</v>
      </c>
      <c r="D145" s="4" t="s">
        <v>416</v>
      </c>
      <c r="E145" s="5" t="s">
        <v>20</v>
      </c>
      <c r="F145" s="6" t="s">
        <v>41</v>
      </c>
      <c r="G145" s="6" t="s">
        <v>42</v>
      </c>
      <c r="H145" s="11" t="s">
        <v>43</v>
      </c>
      <c r="I145" s="50" t="s">
        <v>692</v>
      </c>
      <c r="J145" s="11" t="s">
        <v>693</v>
      </c>
      <c r="K145" s="50" t="s">
        <v>44</v>
      </c>
      <c r="L145" s="50" t="str">
        <f>VLOOKUP(K145,'[1]list PIC'!C:E,2,0)</f>
        <v>Toni Wijaya</v>
      </c>
      <c r="M145" s="50" t="s">
        <v>694</v>
      </c>
      <c r="N145" s="50" t="s">
        <v>45</v>
      </c>
      <c r="O145" s="51" t="str">
        <f>VLOOKUP(N145,'[1]list PIC'!C:E,2,0)</f>
        <v>Evis Methawan</v>
      </c>
      <c r="P145" s="51" t="str">
        <f>VLOOKUP(N145,'[1]list PIC'!C:E,3,0)</f>
        <v>QA MGR</v>
      </c>
      <c r="Q145" s="52"/>
      <c r="R145" s="52"/>
      <c r="S145" s="52"/>
      <c r="T145" s="52"/>
      <c r="U145" s="52"/>
      <c r="V145" s="52"/>
      <c r="W145" s="52"/>
      <c r="X145" s="52"/>
      <c r="Y145" s="52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31" x14ac:dyDescent="0.35">
      <c r="A146" s="9">
        <v>144</v>
      </c>
      <c r="B146" s="106"/>
      <c r="C146" s="32" t="s">
        <v>417</v>
      </c>
      <c r="D146" s="4" t="s">
        <v>418</v>
      </c>
      <c r="E146" s="5" t="s">
        <v>23</v>
      </c>
      <c r="F146" s="6" t="s">
        <v>30</v>
      </c>
      <c r="G146" s="6" t="s">
        <v>31</v>
      </c>
      <c r="H146" s="7" t="s">
        <v>408</v>
      </c>
      <c r="I146" s="50" t="str">
        <f>VLOOKUP(H146,'[1]list PIC'!C:E,2,0)</f>
        <v>Okti Vitasari</v>
      </c>
      <c r="J146" s="50" t="s">
        <v>689</v>
      </c>
      <c r="K146" s="55" t="s">
        <v>33</v>
      </c>
      <c r="L146" s="50" t="str">
        <f>VLOOKUP(K146,'[1]list PIC'!C:E,2,0)</f>
        <v>Endang Sriningsih</v>
      </c>
      <c r="M146" s="50" t="s">
        <v>745</v>
      </c>
      <c r="N146" s="50" t="s">
        <v>34</v>
      </c>
      <c r="O146" s="51" t="str">
        <f>VLOOKUP(N146,'[1]list PIC'!C:E,2,0)</f>
        <v>Robertus Edy P</v>
      </c>
      <c r="P146" s="51" t="str">
        <f>VLOOKUP(N146,'[1]list PIC'!C:E,3,0)</f>
        <v>PROD SMGR</v>
      </c>
      <c r="Q146" s="52"/>
      <c r="R146" s="52"/>
      <c r="S146" s="52"/>
      <c r="T146" s="52"/>
      <c r="U146" s="52"/>
      <c r="V146" s="52"/>
      <c r="W146" s="52"/>
      <c r="X146" s="52"/>
      <c r="Y146" s="52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ht="62" x14ac:dyDescent="0.35">
      <c r="A147" s="9">
        <v>145</v>
      </c>
      <c r="B147" s="106"/>
      <c r="C147" s="32" t="s">
        <v>419</v>
      </c>
      <c r="D147" s="4" t="s">
        <v>420</v>
      </c>
      <c r="E147" s="5">
        <v>16</v>
      </c>
      <c r="F147" s="6" t="s">
        <v>421</v>
      </c>
      <c r="G147" s="4" t="s">
        <v>407</v>
      </c>
      <c r="H147" s="7" t="s">
        <v>408</v>
      </c>
      <c r="I147" s="50" t="str">
        <f>VLOOKUP(H147,'[1]list PIC'!C:E,2,0)</f>
        <v>Okti Vitasari</v>
      </c>
      <c r="J147" s="50" t="s">
        <v>689</v>
      </c>
      <c r="K147" s="50" t="s">
        <v>33</v>
      </c>
      <c r="L147" s="50" t="str">
        <f>VLOOKUP(K147,'[1]list PIC'!C:E,2,0)</f>
        <v>Endang Sriningsih</v>
      </c>
      <c r="M147" s="50" t="s">
        <v>745</v>
      </c>
      <c r="N147" s="50" t="s">
        <v>34</v>
      </c>
      <c r="O147" s="51" t="str">
        <f>VLOOKUP(N147,'[1]list PIC'!C:E,2,0)</f>
        <v>Robertus Edy P</v>
      </c>
      <c r="P147" s="51" t="str">
        <f>VLOOKUP(N147,'[1]list PIC'!C:E,3,0)</f>
        <v>PROD SMGR</v>
      </c>
      <c r="Q147" s="11" t="s">
        <v>43</v>
      </c>
      <c r="R147" s="50" t="s">
        <v>692</v>
      </c>
      <c r="S147" s="11" t="s">
        <v>693</v>
      </c>
      <c r="T147" s="50" t="s">
        <v>44</v>
      </c>
      <c r="U147" s="50" t="str">
        <f>VLOOKUP(T147,'[1]list PIC'!C:E,2,0)</f>
        <v>Toni Wijaya</v>
      </c>
      <c r="V147" s="50" t="str">
        <f>VLOOKUP(T147,'[1]list PIC'!C:E,3,0)</f>
        <v>QA SSPV</v>
      </c>
      <c r="W147" s="50" t="s">
        <v>45</v>
      </c>
      <c r="X147" s="51" t="str">
        <f>VLOOKUP(W147,'[1]list PIC'!C:E,2,0)</f>
        <v>Evis Methawan</v>
      </c>
      <c r="Y147" s="51" t="str">
        <f>VLOOKUP(W147,'[1]list PIC'!C:E,3,0)</f>
        <v>QA MGR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ht="31" x14ac:dyDescent="0.35">
      <c r="A148" s="9">
        <v>146</v>
      </c>
      <c r="B148" s="106"/>
      <c r="C148" s="33" t="s">
        <v>422</v>
      </c>
      <c r="D148" s="4" t="s">
        <v>423</v>
      </c>
      <c r="E148" s="5">
        <v>15</v>
      </c>
      <c r="F148" s="6" t="s">
        <v>30</v>
      </c>
      <c r="G148" s="6" t="s">
        <v>31</v>
      </c>
      <c r="H148" s="7" t="s">
        <v>408</v>
      </c>
      <c r="I148" s="50" t="str">
        <f>VLOOKUP(H148,'[1]list PIC'!C:E,2,0)</f>
        <v>Okti Vitasari</v>
      </c>
      <c r="J148" s="50" t="s">
        <v>689</v>
      </c>
      <c r="K148" s="55" t="s">
        <v>33</v>
      </c>
      <c r="L148" s="50" t="str">
        <f>VLOOKUP(K148,'[1]list PIC'!C:E,2,0)</f>
        <v>Endang Sriningsih</v>
      </c>
      <c r="M148" s="50" t="s">
        <v>745</v>
      </c>
      <c r="N148" s="50" t="s">
        <v>34</v>
      </c>
      <c r="O148" s="51" t="str">
        <f>VLOOKUP(N148,'[1]list PIC'!C:E,2,0)</f>
        <v>Robertus Edy P</v>
      </c>
      <c r="P148" s="51" t="str">
        <f>VLOOKUP(N148,'[1]list PIC'!C:E,3,0)</f>
        <v>PROD SMGR</v>
      </c>
      <c r="Q148" s="52"/>
      <c r="R148" s="52"/>
      <c r="S148" s="52"/>
      <c r="T148" s="52"/>
      <c r="U148" s="52"/>
      <c r="V148" s="52"/>
      <c r="W148" s="52"/>
      <c r="X148" s="52"/>
      <c r="Y148" s="52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ht="31" x14ac:dyDescent="0.35">
      <c r="A149" s="9">
        <v>147</v>
      </c>
      <c r="B149" s="106"/>
      <c r="C149" s="32" t="s">
        <v>424</v>
      </c>
      <c r="D149" s="4" t="s">
        <v>425</v>
      </c>
      <c r="E149" s="5" t="s">
        <v>23</v>
      </c>
      <c r="F149" s="6" t="s">
        <v>30</v>
      </c>
      <c r="G149" s="6" t="s">
        <v>31</v>
      </c>
      <c r="H149" s="7" t="s">
        <v>408</v>
      </c>
      <c r="I149" s="50" t="str">
        <f>VLOOKUP(H149,'[1]list PIC'!C:E,2,0)</f>
        <v>Okti Vitasari</v>
      </c>
      <c r="J149" s="50" t="s">
        <v>689</v>
      </c>
      <c r="K149" s="55" t="s">
        <v>33</v>
      </c>
      <c r="L149" s="50" t="str">
        <f>VLOOKUP(K149,'[1]list PIC'!C:E,2,0)</f>
        <v>Endang Sriningsih</v>
      </c>
      <c r="M149" s="50" t="s">
        <v>745</v>
      </c>
      <c r="N149" s="50" t="s">
        <v>34</v>
      </c>
      <c r="O149" s="51" t="str">
        <f>VLOOKUP(N149,'[1]list PIC'!C:E,2,0)</f>
        <v>Robertus Edy P</v>
      </c>
      <c r="P149" s="51" t="str">
        <f>VLOOKUP(N149,'[1]list PIC'!C:E,3,0)</f>
        <v>PROD SMGR</v>
      </c>
      <c r="Q149" s="52"/>
      <c r="R149" s="52"/>
      <c r="S149" s="52"/>
      <c r="T149" s="52"/>
      <c r="U149" s="52"/>
      <c r="V149" s="52"/>
      <c r="W149" s="52"/>
      <c r="X149" s="52"/>
      <c r="Y149" s="52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ht="31" x14ac:dyDescent="0.35">
      <c r="A150" s="9">
        <v>148</v>
      </c>
      <c r="B150" s="106"/>
      <c r="C150" s="32" t="s">
        <v>426</v>
      </c>
      <c r="D150" s="4" t="s">
        <v>427</v>
      </c>
      <c r="E150" s="5" t="s">
        <v>52</v>
      </c>
      <c r="F150" s="6" t="s">
        <v>30</v>
      </c>
      <c r="G150" s="6" t="s">
        <v>31</v>
      </c>
      <c r="H150" s="7" t="s">
        <v>408</v>
      </c>
      <c r="I150" s="50" t="str">
        <f>VLOOKUP(H150,'[1]list PIC'!C:E,2,0)</f>
        <v>Okti Vitasari</v>
      </c>
      <c r="J150" s="50" t="s">
        <v>689</v>
      </c>
      <c r="K150" s="55" t="s">
        <v>33</v>
      </c>
      <c r="L150" s="50" t="str">
        <f>VLOOKUP(K150,'[1]list PIC'!C:E,2,0)</f>
        <v>Endang Sriningsih</v>
      </c>
      <c r="M150" s="50" t="s">
        <v>745</v>
      </c>
      <c r="N150" s="50" t="s">
        <v>34</v>
      </c>
      <c r="O150" s="51" t="str">
        <f>VLOOKUP(N150,'[1]list PIC'!C:E,2,0)</f>
        <v>Robertus Edy P</v>
      </c>
      <c r="P150" s="51" t="str">
        <f>VLOOKUP(N150,'[1]list PIC'!C:E,3,0)</f>
        <v>PROD SMGR</v>
      </c>
      <c r="Q150" s="52"/>
      <c r="R150" s="52"/>
      <c r="S150" s="52"/>
      <c r="T150" s="52"/>
      <c r="U150" s="52"/>
      <c r="V150" s="52"/>
      <c r="W150" s="52"/>
      <c r="X150" s="52"/>
      <c r="Y150" s="52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ht="31" x14ac:dyDescent="0.35">
      <c r="A151" s="9">
        <v>149</v>
      </c>
      <c r="B151" s="106"/>
      <c r="C151" s="32" t="s">
        <v>428</v>
      </c>
      <c r="D151" s="4" t="s">
        <v>429</v>
      </c>
      <c r="E151" s="5" t="s">
        <v>76</v>
      </c>
      <c r="F151" s="6" t="s">
        <v>30</v>
      </c>
      <c r="G151" s="6" t="s">
        <v>31</v>
      </c>
      <c r="H151" s="7" t="s">
        <v>408</v>
      </c>
      <c r="I151" s="50" t="str">
        <f>VLOOKUP(H151,'[1]list PIC'!C:E,2,0)</f>
        <v>Okti Vitasari</v>
      </c>
      <c r="J151" s="50" t="s">
        <v>689</v>
      </c>
      <c r="K151" s="55" t="s">
        <v>33</v>
      </c>
      <c r="L151" s="50" t="str">
        <f>VLOOKUP(K151,'[1]list PIC'!C:E,2,0)</f>
        <v>Endang Sriningsih</v>
      </c>
      <c r="M151" s="50" t="s">
        <v>745</v>
      </c>
      <c r="N151" s="50" t="s">
        <v>34</v>
      </c>
      <c r="O151" s="51" t="str">
        <f>VLOOKUP(N151,'[1]list PIC'!C:E,2,0)</f>
        <v>Robertus Edy P</v>
      </c>
      <c r="P151" s="51" t="str">
        <f>VLOOKUP(N151,'[1]list PIC'!C:E,3,0)</f>
        <v>PROD SMGR</v>
      </c>
      <c r="Q151" s="52"/>
      <c r="R151" s="52"/>
      <c r="S151" s="52"/>
      <c r="T151" s="52"/>
      <c r="U151" s="52"/>
      <c r="V151" s="52"/>
      <c r="W151" s="52"/>
      <c r="X151" s="52"/>
      <c r="Y151" s="52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ht="31" x14ac:dyDescent="0.35">
      <c r="A152" s="9">
        <v>150</v>
      </c>
      <c r="B152" s="106"/>
      <c r="C152" s="32" t="s">
        <v>430</v>
      </c>
      <c r="D152" s="4" t="s">
        <v>431</v>
      </c>
      <c r="E152" s="5" t="s">
        <v>23</v>
      </c>
      <c r="F152" s="6" t="s">
        <v>30</v>
      </c>
      <c r="G152" s="6" t="s">
        <v>31</v>
      </c>
      <c r="H152" s="7" t="s">
        <v>408</v>
      </c>
      <c r="I152" s="50" t="str">
        <f>VLOOKUP(H152,'[1]list PIC'!C:E,2,0)</f>
        <v>Okti Vitasari</v>
      </c>
      <c r="J152" s="50" t="s">
        <v>689</v>
      </c>
      <c r="K152" s="55" t="s">
        <v>33</v>
      </c>
      <c r="L152" s="50" t="str">
        <f>VLOOKUP(K152,'[1]list PIC'!C:E,2,0)</f>
        <v>Endang Sriningsih</v>
      </c>
      <c r="M152" s="50" t="s">
        <v>745</v>
      </c>
      <c r="N152" s="50" t="s">
        <v>34</v>
      </c>
      <c r="O152" s="51" t="str">
        <f>VLOOKUP(N152,'[1]list PIC'!C:E,2,0)</f>
        <v>Robertus Edy P</v>
      </c>
      <c r="P152" s="51" t="str">
        <f>VLOOKUP(N152,'[1]list PIC'!C:E,3,0)</f>
        <v>PROD SMGR</v>
      </c>
      <c r="Q152" s="52"/>
      <c r="R152" s="52"/>
      <c r="S152" s="52"/>
      <c r="T152" s="52"/>
      <c r="U152" s="52"/>
      <c r="V152" s="52"/>
      <c r="W152" s="52"/>
      <c r="X152" s="52"/>
      <c r="Y152" s="52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ht="31" x14ac:dyDescent="0.35">
      <c r="A153" s="9">
        <v>151</v>
      </c>
      <c r="B153" s="106"/>
      <c r="C153" s="33" t="s">
        <v>432</v>
      </c>
      <c r="D153" s="4" t="s">
        <v>433</v>
      </c>
      <c r="E153" s="5" t="s">
        <v>194</v>
      </c>
      <c r="F153" s="6" t="s">
        <v>30</v>
      </c>
      <c r="G153" s="6" t="s">
        <v>31</v>
      </c>
      <c r="H153" s="7" t="s">
        <v>408</v>
      </c>
      <c r="I153" s="50" t="str">
        <f>VLOOKUP(H153,'[1]list PIC'!C:E,2,0)</f>
        <v>Okti Vitasari</v>
      </c>
      <c r="J153" s="50" t="s">
        <v>689</v>
      </c>
      <c r="K153" s="55" t="s">
        <v>33</v>
      </c>
      <c r="L153" s="50" t="str">
        <f>VLOOKUP(K153,'[1]list PIC'!C:E,2,0)</f>
        <v>Endang Sriningsih</v>
      </c>
      <c r="M153" s="50" t="s">
        <v>745</v>
      </c>
      <c r="N153" s="50" t="s">
        <v>34</v>
      </c>
      <c r="O153" s="51" t="str">
        <f>VLOOKUP(N153,'[1]list PIC'!C:E,2,0)</f>
        <v>Robertus Edy P</v>
      </c>
      <c r="P153" s="51" t="str">
        <f>VLOOKUP(N153,'[1]list PIC'!C:E,3,0)</f>
        <v>PROD SMGR</v>
      </c>
      <c r="Q153" s="52"/>
      <c r="R153" s="52"/>
      <c r="S153" s="52"/>
      <c r="T153" s="52"/>
      <c r="U153" s="52"/>
      <c r="V153" s="52"/>
      <c r="W153" s="52"/>
      <c r="X153" s="52"/>
      <c r="Y153" s="52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ht="62" x14ac:dyDescent="0.35">
      <c r="A154" s="9">
        <v>152</v>
      </c>
      <c r="B154" s="106"/>
      <c r="C154" s="32" t="s">
        <v>434</v>
      </c>
      <c r="D154" s="4" t="s">
        <v>435</v>
      </c>
      <c r="E154" s="5" t="s">
        <v>17</v>
      </c>
      <c r="F154" s="6" t="s">
        <v>406</v>
      </c>
      <c r="G154" s="4" t="s">
        <v>407</v>
      </c>
      <c r="H154" s="7" t="s">
        <v>408</v>
      </c>
      <c r="I154" s="50" t="str">
        <f>VLOOKUP(H154,'[1]list PIC'!C:E,2,0)</f>
        <v>Okti Vitasari</v>
      </c>
      <c r="J154" s="50" t="s">
        <v>689</v>
      </c>
      <c r="K154" s="50" t="s">
        <v>33</v>
      </c>
      <c r="L154" s="50" t="str">
        <f>VLOOKUP(K154,'[1]list PIC'!C:E,2,0)</f>
        <v>Endang Sriningsih</v>
      </c>
      <c r="M154" s="50" t="s">
        <v>745</v>
      </c>
      <c r="N154" s="50" t="s">
        <v>34</v>
      </c>
      <c r="O154" s="51" t="str">
        <f>VLOOKUP(N154,'[1]list PIC'!C:E,2,0)</f>
        <v>Robertus Edy P</v>
      </c>
      <c r="P154" s="51" t="str">
        <f>VLOOKUP(N154,'[1]list PIC'!C:E,3,0)</f>
        <v>PROD SMGR</v>
      </c>
      <c r="Q154" s="11" t="s">
        <v>43</v>
      </c>
      <c r="R154" s="50" t="s">
        <v>692</v>
      </c>
      <c r="S154" s="11" t="s">
        <v>693</v>
      </c>
      <c r="T154" s="50" t="s">
        <v>44</v>
      </c>
      <c r="U154" s="50" t="str">
        <f>VLOOKUP(T154,'[1]list PIC'!C:E,2,0)</f>
        <v>Toni Wijaya</v>
      </c>
      <c r="V154" s="50" t="str">
        <f>VLOOKUP(T154,'[1]list PIC'!C:E,3,0)</f>
        <v>QA SSPV</v>
      </c>
      <c r="W154" s="50" t="s">
        <v>45</v>
      </c>
      <c r="X154" s="51" t="str">
        <f>VLOOKUP(W154,'[1]list PIC'!C:E,2,0)</f>
        <v>Evis Methawan</v>
      </c>
      <c r="Y154" s="51" t="str">
        <f>VLOOKUP(W154,'[1]list PIC'!C:E,3,0)</f>
        <v>QA MGR</v>
      </c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ht="62" x14ac:dyDescent="0.35">
      <c r="A155" s="9">
        <v>153</v>
      </c>
      <c r="B155" s="106"/>
      <c r="C155" s="32" t="s">
        <v>436</v>
      </c>
      <c r="D155" s="4" t="s">
        <v>437</v>
      </c>
      <c r="E155" s="5">
        <v>10</v>
      </c>
      <c r="F155" s="6" t="s">
        <v>406</v>
      </c>
      <c r="G155" s="4" t="s">
        <v>407</v>
      </c>
      <c r="H155" s="7" t="s">
        <v>408</v>
      </c>
      <c r="I155" s="50" t="str">
        <f>VLOOKUP(H155,'[1]list PIC'!C:E,2,0)</f>
        <v>Okti Vitasari</v>
      </c>
      <c r="J155" s="50" t="s">
        <v>689</v>
      </c>
      <c r="K155" s="50" t="s">
        <v>33</v>
      </c>
      <c r="L155" s="50" t="str">
        <f>VLOOKUP(K155,'[1]list PIC'!C:E,2,0)</f>
        <v>Endang Sriningsih</v>
      </c>
      <c r="M155" s="50" t="s">
        <v>745</v>
      </c>
      <c r="N155" s="50" t="s">
        <v>34</v>
      </c>
      <c r="O155" s="51" t="str">
        <f>VLOOKUP(N155,'[1]list PIC'!C:E,2,0)</f>
        <v>Robertus Edy P</v>
      </c>
      <c r="P155" s="51" t="str">
        <f>VLOOKUP(N155,'[1]list PIC'!C:E,3,0)</f>
        <v>PROD SMGR</v>
      </c>
      <c r="Q155" s="11" t="s">
        <v>43</v>
      </c>
      <c r="R155" s="50" t="s">
        <v>692</v>
      </c>
      <c r="S155" s="11" t="s">
        <v>693</v>
      </c>
      <c r="T155" s="50" t="s">
        <v>44</v>
      </c>
      <c r="U155" s="50" t="str">
        <f>VLOOKUP(T155,'[1]list PIC'!C:E,2,0)</f>
        <v>Toni Wijaya</v>
      </c>
      <c r="V155" s="50" t="str">
        <f>VLOOKUP(T155,'[1]list PIC'!C:E,3,0)</f>
        <v>QA SSPV</v>
      </c>
      <c r="W155" s="50" t="s">
        <v>45</v>
      </c>
      <c r="X155" s="51" t="str">
        <f>VLOOKUP(W155,'[1]list PIC'!C:E,2,0)</f>
        <v>Evis Methawan</v>
      </c>
      <c r="Y155" s="51" t="str">
        <f>VLOOKUP(W155,'[1]list PIC'!C:E,3,0)</f>
        <v>QA MGR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ht="62" x14ac:dyDescent="0.35">
      <c r="A156" s="9">
        <v>154</v>
      </c>
      <c r="B156" s="106"/>
      <c r="C156" s="33" t="s">
        <v>438</v>
      </c>
      <c r="D156" s="4" t="s">
        <v>439</v>
      </c>
      <c r="E156" s="5" t="s">
        <v>29</v>
      </c>
      <c r="F156" s="6" t="s">
        <v>406</v>
      </c>
      <c r="G156" s="4" t="s">
        <v>407</v>
      </c>
      <c r="H156" s="7" t="s">
        <v>408</v>
      </c>
      <c r="I156" s="50" t="str">
        <f>VLOOKUP(H156,'[1]list PIC'!C:E,2,0)</f>
        <v>Okti Vitasari</v>
      </c>
      <c r="J156" s="50" t="s">
        <v>689</v>
      </c>
      <c r="K156" s="50" t="s">
        <v>33</v>
      </c>
      <c r="L156" s="50" t="str">
        <f>VLOOKUP(K156,'[1]list PIC'!C:E,2,0)</f>
        <v>Endang Sriningsih</v>
      </c>
      <c r="M156" s="50" t="s">
        <v>745</v>
      </c>
      <c r="N156" s="50" t="s">
        <v>34</v>
      </c>
      <c r="O156" s="51" t="str">
        <f>VLOOKUP(N156,'[1]list PIC'!C:E,2,0)</f>
        <v>Robertus Edy P</v>
      </c>
      <c r="P156" s="51" t="str">
        <f>VLOOKUP(N156,'[1]list PIC'!C:E,3,0)</f>
        <v>PROD SMGR</v>
      </c>
      <c r="Q156" s="11" t="s">
        <v>43</v>
      </c>
      <c r="R156" s="50" t="s">
        <v>692</v>
      </c>
      <c r="S156" s="11" t="s">
        <v>693</v>
      </c>
      <c r="T156" s="50" t="s">
        <v>44</v>
      </c>
      <c r="U156" s="50" t="str">
        <f>VLOOKUP(T156,'[1]list PIC'!C:E,2,0)</f>
        <v>Toni Wijaya</v>
      </c>
      <c r="V156" s="50" t="str">
        <f>VLOOKUP(T156,'[1]list PIC'!C:E,3,0)</f>
        <v>QA SSPV</v>
      </c>
      <c r="W156" s="50" t="s">
        <v>45</v>
      </c>
      <c r="X156" s="51" t="str">
        <f>VLOOKUP(W156,'[1]list PIC'!C:E,2,0)</f>
        <v>Evis Methawan</v>
      </c>
      <c r="Y156" s="51" t="str">
        <f>VLOOKUP(W156,'[1]list PIC'!C:E,3,0)</f>
        <v>QA MGR</v>
      </c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ht="31" x14ac:dyDescent="0.35">
      <c r="A157" s="9">
        <v>155</v>
      </c>
      <c r="B157" s="106"/>
      <c r="C157" s="62" t="s">
        <v>440</v>
      </c>
      <c r="D157" s="4" t="s">
        <v>441</v>
      </c>
      <c r="E157" s="15" t="s">
        <v>29</v>
      </c>
      <c r="F157" s="4" t="s">
        <v>30</v>
      </c>
      <c r="G157" s="6" t="s">
        <v>31</v>
      </c>
      <c r="H157" s="7" t="s">
        <v>408</v>
      </c>
      <c r="I157" s="50" t="str">
        <f>VLOOKUP(H157,'[1]list PIC'!C:E,2,0)</f>
        <v>Okti Vitasari</v>
      </c>
      <c r="J157" s="50" t="s">
        <v>689</v>
      </c>
      <c r="K157" s="55" t="s">
        <v>33</v>
      </c>
      <c r="L157" s="50" t="str">
        <f>VLOOKUP(K157,'[1]list PIC'!C:E,2,0)</f>
        <v>Endang Sriningsih</v>
      </c>
      <c r="M157" s="50" t="s">
        <v>745</v>
      </c>
      <c r="N157" s="50" t="s">
        <v>34</v>
      </c>
      <c r="O157" s="51" t="str">
        <f>VLOOKUP(N157,'[1]list PIC'!C:E,2,0)</f>
        <v>Robertus Edy P</v>
      </c>
      <c r="P157" s="51" t="str">
        <f>VLOOKUP(N157,'[1]list PIC'!C:E,3,0)</f>
        <v>PROD SMGR</v>
      </c>
      <c r="Q157" s="52"/>
      <c r="R157" s="52"/>
      <c r="S157" s="52"/>
      <c r="T157" s="52"/>
      <c r="U157" s="52"/>
      <c r="V157" s="52"/>
      <c r="W157" s="52"/>
      <c r="X157" s="52"/>
      <c r="Y157" s="52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ht="31" x14ac:dyDescent="0.35">
      <c r="A158" s="9">
        <v>156</v>
      </c>
      <c r="B158" s="106"/>
      <c r="C158" s="62" t="s">
        <v>442</v>
      </c>
      <c r="D158" s="4" t="s">
        <v>443</v>
      </c>
      <c r="E158" s="5" t="s">
        <v>29</v>
      </c>
      <c r="F158" s="6" t="s">
        <v>30</v>
      </c>
      <c r="G158" s="6" t="s">
        <v>31</v>
      </c>
      <c r="H158" s="7" t="s">
        <v>408</v>
      </c>
      <c r="I158" s="50" t="str">
        <f>VLOOKUP(H158,'[1]list PIC'!C:E,2,0)</f>
        <v>Okti Vitasari</v>
      </c>
      <c r="J158" s="50" t="s">
        <v>689</v>
      </c>
      <c r="K158" s="55" t="s">
        <v>33</v>
      </c>
      <c r="L158" s="50" t="str">
        <f>VLOOKUP(K158,'[1]list PIC'!C:E,2,0)</f>
        <v>Endang Sriningsih</v>
      </c>
      <c r="M158" s="50" t="s">
        <v>745</v>
      </c>
      <c r="N158" s="50" t="s">
        <v>34</v>
      </c>
      <c r="O158" s="51" t="str">
        <f>VLOOKUP(N158,'[1]list PIC'!C:E,2,0)</f>
        <v>Robertus Edy P</v>
      </c>
      <c r="P158" s="51" t="str">
        <f>VLOOKUP(N158,'[1]list PIC'!C:E,3,0)</f>
        <v>PROD SMGR</v>
      </c>
      <c r="Q158" s="52"/>
      <c r="R158" s="52"/>
      <c r="S158" s="52"/>
      <c r="T158" s="52"/>
      <c r="U158" s="52"/>
      <c r="V158" s="52"/>
      <c r="W158" s="52"/>
      <c r="X158" s="52"/>
      <c r="Y158" s="52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ht="31" x14ac:dyDescent="0.35">
      <c r="A159" s="9">
        <v>157</v>
      </c>
      <c r="B159" s="106"/>
      <c r="C159" s="33" t="s">
        <v>444</v>
      </c>
      <c r="D159" s="4" t="s">
        <v>445</v>
      </c>
      <c r="E159" s="5" t="s">
        <v>17</v>
      </c>
      <c r="F159" s="6" t="s">
        <v>243</v>
      </c>
      <c r="G159" s="6" t="s">
        <v>56</v>
      </c>
      <c r="H159" s="7" t="s">
        <v>57</v>
      </c>
      <c r="I159" s="50" t="str">
        <f>VLOOKUP(H159,'[1]list PIC'!C:E,2,0)</f>
        <v>Shinta Feriyanti</v>
      </c>
      <c r="J159" s="50" t="s">
        <v>697</v>
      </c>
      <c r="K159" s="56" t="s">
        <v>44</v>
      </c>
      <c r="L159" s="50" t="str">
        <f>VLOOKUP(K159,'[1]list PIC'!C:E,2,0)</f>
        <v>Toni Wijaya</v>
      </c>
      <c r="M159" s="50" t="s">
        <v>694</v>
      </c>
      <c r="N159" s="56" t="s">
        <v>45</v>
      </c>
      <c r="O159" s="51" t="str">
        <f>VLOOKUP(N159,'[1]list PIC'!C:E,2,0)</f>
        <v>Evis Methawan</v>
      </c>
      <c r="P159" s="51" t="str">
        <f>VLOOKUP(N159,'[1]list PIC'!C:E,3,0)</f>
        <v>QA MGR</v>
      </c>
      <c r="Q159" s="52"/>
      <c r="R159" s="52"/>
      <c r="S159" s="52"/>
      <c r="T159" s="52"/>
      <c r="U159" s="52"/>
      <c r="V159" s="52"/>
      <c r="W159" s="52"/>
      <c r="X159" s="52"/>
      <c r="Y159" s="52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ht="62" x14ac:dyDescent="0.35">
      <c r="A160" s="9">
        <v>158</v>
      </c>
      <c r="B160" s="106"/>
      <c r="C160" s="32" t="s">
        <v>446</v>
      </c>
      <c r="D160" s="4" t="s">
        <v>447</v>
      </c>
      <c r="E160" s="5" t="s">
        <v>23</v>
      </c>
      <c r="F160" s="6" t="s">
        <v>448</v>
      </c>
      <c r="G160" s="6" t="s">
        <v>42</v>
      </c>
      <c r="H160" s="11" t="s">
        <v>43</v>
      </c>
      <c r="I160" s="50" t="s">
        <v>692</v>
      </c>
      <c r="J160" s="11" t="s">
        <v>693</v>
      </c>
      <c r="K160" s="50" t="s">
        <v>44</v>
      </c>
      <c r="L160" s="50" t="str">
        <f>VLOOKUP(K160,'[1]list PIC'!C:E,2,0)</f>
        <v>Toni Wijaya</v>
      </c>
      <c r="M160" s="50" t="s">
        <v>694</v>
      </c>
      <c r="N160" s="50" t="s">
        <v>45</v>
      </c>
      <c r="O160" s="51" t="str">
        <f>VLOOKUP(N160,'[1]list PIC'!C:E,2,0)</f>
        <v>Evis Methawan</v>
      </c>
      <c r="P160" s="51" t="str">
        <f>VLOOKUP(N160,'[1]list PIC'!C:E,3,0)</f>
        <v>QA MGR</v>
      </c>
      <c r="Q160" s="52"/>
      <c r="R160" s="52"/>
      <c r="S160" s="52"/>
      <c r="T160" s="52"/>
      <c r="U160" s="52"/>
      <c r="V160" s="52"/>
      <c r="W160" s="52"/>
      <c r="X160" s="52"/>
      <c r="Y160" s="52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ht="31" x14ac:dyDescent="0.35">
      <c r="A161" s="9">
        <v>159</v>
      </c>
      <c r="B161" s="106"/>
      <c r="C161" s="32" t="s">
        <v>449</v>
      </c>
      <c r="D161" s="4" t="s">
        <v>450</v>
      </c>
      <c r="E161" s="5" t="s">
        <v>76</v>
      </c>
      <c r="F161" s="6" t="s">
        <v>30</v>
      </c>
      <c r="G161" s="6" t="s">
        <v>31</v>
      </c>
      <c r="H161" s="7" t="s">
        <v>408</v>
      </c>
      <c r="I161" s="50" t="str">
        <f>VLOOKUP(H161,'[1]list PIC'!C:E,2,0)</f>
        <v>Okti Vitasari</v>
      </c>
      <c r="J161" s="50" t="s">
        <v>689</v>
      </c>
      <c r="K161" s="55" t="s">
        <v>33</v>
      </c>
      <c r="L161" s="50" t="str">
        <f>VLOOKUP(K161,'[1]list PIC'!C:E,2,0)</f>
        <v>Endang Sriningsih</v>
      </c>
      <c r="M161" s="50" t="s">
        <v>745</v>
      </c>
      <c r="N161" s="50" t="s">
        <v>34</v>
      </c>
      <c r="O161" s="51" t="str">
        <f>VLOOKUP(N161,'[1]list PIC'!C:E,2,0)</f>
        <v>Robertus Edy P</v>
      </c>
      <c r="P161" s="51" t="str">
        <f>VLOOKUP(N161,'[1]list PIC'!C:E,3,0)</f>
        <v>PROD SMGR</v>
      </c>
      <c r="Q161" s="52"/>
      <c r="R161" s="52"/>
      <c r="S161" s="52"/>
      <c r="T161" s="52"/>
      <c r="U161" s="52"/>
      <c r="V161" s="52"/>
      <c r="W161" s="52"/>
      <c r="X161" s="52"/>
      <c r="Y161" s="52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ht="31" x14ac:dyDescent="0.35">
      <c r="A162" s="9">
        <v>160</v>
      </c>
      <c r="B162" s="106"/>
      <c r="C162" s="32" t="s">
        <v>451</v>
      </c>
      <c r="D162" s="4" t="s">
        <v>452</v>
      </c>
      <c r="E162" s="5" t="s">
        <v>23</v>
      </c>
      <c r="F162" s="6" t="s">
        <v>30</v>
      </c>
      <c r="G162" s="6" t="s">
        <v>31</v>
      </c>
      <c r="H162" s="7" t="s">
        <v>408</v>
      </c>
      <c r="I162" s="50" t="str">
        <f>VLOOKUP(H162,'[1]list PIC'!C:E,2,0)</f>
        <v>Okti Vitasari</v>
      </c>
      <c r="J162" s="50" t="s">
        <v>689</v>
      </c>
      <c r="K162" s="55" t="s">
        <v>33</v>
      </c>
      <c r="L162" s="50" t="str">
        <f>VLOOKUP(K162,'[1]list PIC'!C:E,2,0)</f>
        <v>Endang Sriningsih</v>
      </c>
      <c r="M162" s="50" t="s">
        <v>745</v>
      </c>
      <c r="N162" s="50" t="s">
        <v>34</v>
      </c>
      <c r="O162" s="51" t="str">
        <f>VLOOKUP(N162,'[1]list PIC'!C:E,2,0)</f>
        <v>Robertus Edy P</v>
      </c>
      <c r="P162" s="51" t="str">
        <f>VLOOKUP(N162,'[1]list PIC'!C:E,3,0)</f>
        <v>PROD SMGR</v>
      </c>
      <c r="Q162" s="52"/>
      <c r="R162" s="52"/>
      <c r="S162" s="52"/>
      <c r="T162" s="52"/>
      <c r="U162" s="52"/>
      <c r="V162" s="52"/>
      <c r="W162" s="52"/>
      <c r="X162" s="52"/>
      <c r="Y162" s="52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ht="31" x14ac:dyDescent="0.35">
      <c r="A163" s="9">
        <v>161</v>
      </c>
      <c r="B163" s="106"/>
      <c r="C163" s="32" t="s">
        <v>453</v>
      </c>
      <c r="D163" s="4" t="s">
        <v>454</v>
      </c>
      <c r="E163" s="5" t="s">
        <v>20</v>
      </c>
      <c r="F163" s="6" t="s">
        <v>30</v>
      </c>
      <c r="G163" s="6" t="s">
        <v>31</v>
      </c>
      <c r="H163" s="7" t="s">
        <v>408</v>
      </c>
      <c r="I163" s="50" t="str">
        <f>VLOOKUP(H163,'[1]list PIC'!C:E,2,0)</f>
        <v>Okti Vitasari</v>
      </c>
      <c r="J163" s="50" t="s">
        <v>689</v>
      </c>
      <c r="K163" s="55" t="s">
        <v>33</v>
      </c>
      <c r="L163" s="50" t="str">
        <f>VLOOKUP(K163,'[1]list PIC'!C:E,2,0)</f>
        <v>Endang Sriningsih</v>
      </c>
      <c r="M163" s="50" t="s">
        <v>745</v>
      </c>
      <c r="N163" s="50" t="s">
        <v>34</v>
      </c>
      <c r="O163" s="51" t="str">
        <f>VLOOKUP(N163,'[1]list PIC'!C:E,2,0)</f>
        <v>Robertus Edy P</v>
      </c>
      <c r="P163" s="51" t="str">
        <f>VLOOKUP(N163,'[1]list PIC'!C:E,3,0)</f>
        <v>PROD SMGR</v>
      </c>
      <c r="Q163" s="52"/>
      <c r="R163" s="52"/>
      <c r="S163" s="52"/>
      <c r="T163" s="52"/>
      <c r="U163" s="52"/>
      <c r="V163" s="52"/>
      <c r="W163" s="52"/>
      <c r="X163" s="52"/>
      <c r="Y163" s="52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ht="62" x14ac:dyDescent="0.35">
      <c r="A164" s="9">
        <v>162</v>
      </c>
      <c r="B164" s="106"/>
      <c r="C164" s="32" t="s">
        <v>455</v>
      </c>
      <c r="D164" s="4" t="s">
        <v>456</v>
      </c>
      <c r="E164" s="5" t="s">
        <v>40</v>
      </c>
      <c r="F164" s="6" t="s">
        <v>406</v>
      </c>
      <c r="G164" s="4" t="s">
        <v>407</v>
      </c>
      <c r="H164" s="7" t="s">
        <v>408</v>
      </c>
      <c r="I164" s="50" t="str">
        <f>VLOOKUP(H164,'[1]list PIC'!C:E,2,0)</f>
        <v>Okti Vitasari</v>
      </c>
      <c r="J164" s="50" t="s">
        <v>689</v>
      </c>
      <c r="K164" s="50" t="s">
        <v>33</v>
      </c>
      <c r="L164" s="50" t="str">
        <f>VLOOKUP(K164,'[1]list PIC'!C:E,2,0)</f>
        <v>Endang Sriningsih</v>
      </c>
      <c r="M164" s="50" t="s">
        <v>745</v>
      </c>
      <c r="N164" s="50" t="s">
        <v>34</v>
      </c>
      <c r="O164" s="51" t="str">
        <f>VLOOKUP(N164,'[1]list PIC'!C:E,2,0)</f>
        <v>Robertus Edy P</v>
      </c>
      <c r="P164" s="51" t="str">
        <f>VLOOKUP(N164,'[1]list PIC'!C:E,3,0)</f>
        <v>PROD SMGR</v>
      </c>
      <c r="Q164" s="11" t="s">
        <v>43</v>
      </c>
      <c r="R164" s="50" t="s">
        <v>692</v>
      </c>
      <c r="S164" s="11" t="s">
        <v>693</v>
      </c>
      <c r="T164" s="50" t="s">
        <v>44</v>
      </c>
      <c r="U164" s="50" t="str">
        <f>VLOOKUP(T164,'[1]list PIC'!C:E,2,0)</f>
        <v>Toni Wijaya</v>
      </c>
      <c r="V164" s="50" t="str">
        <f>VLOOKUP(T164,'[1]list PIC'!C:E,3,0)</f>
        <v>QA SSPV</v>
      </c>
      <c r="W164" s="50" t="s">
        <v>45</v>
      </c>
      <c r="X164" s="51" t="str">
        <f>VLOOKUP(W164,'[1]list PIC'!C:E,2,0)</f>
        <v>Evis Methawan</v>
      </c>
      <c r="Y164" s="51" t="str">
        <f>VLOOKUP(W164,'[1]list PIC'!C:E,3,0)</f>
        <v>QA MGR</v>
      </c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ht="31" x14ac:dyDescent="0.35">
      <c r="A165" s="9">
        <v>163</v>
      </c>
      <c r="B165" s="106"/>
      <c r="C165" s="32" t="s">
        <v>457</v>
      </c>
      <c r="D165" s="4" t="s">
        <v>458</v>
      </c>
      <c r="E165" s="5" t="s">
        <v>194</v>
      </c>
      <c r="F165" s="6" t="s">
        <v>30</v>
      </c>
      <c r="G165" s="6" t="s">
        <v>31</v>
      </c>
      <c r="H165" s="7" t="s">
        <v>408</v>
      </c>
      <c r="I165" s="50" t="str">
        <f>VLOOKUP(H165,'[1]list PIC'!C:E,2,0)</f>
        <v>Okti Vitasari</v>
      </c>
      <c r="J165" s="50" t="s">
        <v>689</v>
      </c>
      <c r="K165" s="55" t="s">
        <v>33</v>
      </c>
      <c r="L165" s="50" t="str">
        <f>VLOOKUP(K165,'[1]list PIC'!C:E,2,0)</f>
        <v>Endang Sriningsih</v>
      </c>
      <c r="M165" s="50" t="s">
        <v>745</v>
      </c>
      <c r="N165" s="50" t="s">
        <v>34</v>
      </c>
      <c r="O165" s="51" t="str">
        <f>VLOOKUP(N165,'[1]list PIC'!C:E,2,0)</f>
        <v>Robertus Edy P</v>
      </c>
      <c r="P165" s="51" t="str">
        <f>VLOOKUP(N165,'[1]list PIC'!C:E,3,0)</f>
        <v>PROD SMGR</v>
      </c>
      <c r="Q165" s="52"/>
      <c r="R165" s="52"/>
      <c r="S165" s="52"/>
      <c r="T165" s="52"/>
      <c r="U165" s="52"/>
      <c r="V165" s="52"/>
      <c r="W165" s="52"/>
      <c r="X165" s="52"/>
      <c r="Y165" s="52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ht="31" x14ac:dyDescent="0.35">
      <c r="A166" s="9">
        <v>164</v>
      </c>
      <c r="B166" s="106"/>
      <c r="C166" s="33" t="s">
        <v>459</v>
      </c>
      <c r="D166" s="4" t="s">
        <v>460</v>
      </c>
      <c r="E166" s="5" t="s">
        <v>23</v>
      </c>
      <c r="F166" s="6" t="s">
        <v>30</v>
      </c>
      <c r="G166" s="6" t="s">
        <v>31</v>
      </c>
      <c r="H166" s="7" t="s">
        <v>408</v>
      </c>
      <c r="I166" s="50" t="str">
        <f>VLOOKUP(H166,'[1]list PIC'!C:E,2,0)</f>
        <v>Okti Vitasari</v>
      </c>
      <c r="J166" s="50" t="s">
        <v>689</v>
      </c>
      <c r="K166" s="55" t="s">
        <v>33</v>
      </c>
      <c r="L166" s="50" t="str">
        <f>VLOOKUP(K166,'[1]list PIC'!C:E,2,0)</f>
        <v>Endang Sriningsih</v>
      </c>
      <c r="M166" s="50" t="s">
        <v>745</v>
      </c>
      <c r="N166" s="50" t="s">
        <v>34</v>
      </c>
      <c r="O166" s="51" t="str">
        <f>VLOOKUP(N166,'[1]list PIC'!C:E,2,0)</f>
        <v>Robertus Edy P</v>
      </c>
      <c r="P166" s="51" t="str">
        <f>VLOOKUP(N166,'[1]list PIC'!C:E,3,0)</f>
        <v>PROD SMGR</v>
      </c>
      <c r="Q166" s="52"/>
      <c r="R166" s="52"/>
      <c r="S166" s="52"/>
      <c r="T166" s="52"/>
      <c r="U166" s="52"/>
      <c r="V166" s="52"/>
      <c r="W166" s="52"/>
      <c r="X166" s="52"/>
      <c r="Y166" s="52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ht="62" x14ac:dyDescent="0.35">
      <c r="A167" s="9">
        <v>165</v>
      </c>
      <c r="B167" s="106"/>
      <c r="C167" s="32" t="s">
        <v>461</v>
      </c>
      <c r="D167" s="4" t="s">
        <v>462</v>
      </c>
      <c r="E167" s="5" t="s">
        <v>40</v>
      </c>
      <c r="F167" s="6" t="s">
        <v>41</v>
      </c>
      <c r="G167" s="6" t="s">
        <v>42</v>
      </c>
      <c r="H167" s="11" t="s">
        <v>43</v>
      </c>
      <c r="I167" s="50" t="s">
        <v>692</v>
      </c>
      <c r="J167" s="11" t="s">
        <v>693</v>
      </c>
      <c r="K167" s="50" t="s">
        <v>44</v>
      </c>
      <c r="L167" s="50" t="str">
        <f>VLOOKUP(K167,'[1]list PIC'!C:E,2,0)</f>
        <v>Toni Wijaya</v>
      </c>
      <c r="M167" s="50" t="s">
        <v>694</v>
      </c>
      <c r="N167" s="50" t="s">
        <v>45</v>
      </c>
      <c r="O167" s="51" t="str">
        <f>VLOOKUP(N167,'[1]list PIC'!C:E,2,0)</f>
        <v>Evis Methawan</v>
      </c>
      <c r="P167" s="51" t="str">
        <f>VLOOKUP(N167,'[1]list PIC'!C:E,3,0)</f>
        <v>QA MGR</v>
      </c>
      <c r="Q167" s="52"/>
      <c r="R167" s="52"/>
      <c r="S167" s="52"/>
      <c r="T167" s="52"/>
      <c r="U167" s="52"/>
      <c r="V167" s="52"/>
      <c r="W167" s="52"/>
      <c r="X167" s="52"/>
      <c r="Y167" s="52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ht="62" x14ac:dyDescent="0.35">
      <c r="A168" s="9">
        <v>166</v>
      </c>
      <c r="B168" s="106"/>
      <c r="C168" s="33" t="s">
        <v>463</v>
      </c>
      <c r="D168" s="4" t="s">
        <v>464</v>
      </c>
      <c r="E168" s="5" t="s">
        <v>29</v>
      </c>
      <c r="F168" s="6" t="s">
        <v>406</v>
      </c>
      <c r="G168" s="4" t="s">
        <v>407</v>
      </c>
      <c r="H168" s="7" t="s">
        <v>408</v>
      </c>
      <c r="I168" s="50" t="str">
        <f>VLOOKUP(H168,'[1]list PIC'!C:E,2,0)</f>
        <v>Okti Vitasari</v>
      </c>
      <c r="J168" s="50" t="s">
        <v>689</v>
      </c>
      <c r="K168" s="50" t="s">
        <v>33</v>
      </c>
      <c r="L168" s="50" t="str">
        <f>VLOOKUP(K168,'[1]list PIC'!C:E,2,0)</f>
        <v>Endang Sriningsih</v>
      </c>
      <c r="M168" s="50" t="s">
        <v>745</v>
      </c>
      <c r="N168" s="50" t="s">
        <v>34</v>
      </c>
      <c r="O168" s="51" t="str">
        <f>VLOOKUP(N168,'[1]list PIC'!C:E,2,0)</f>
        <v>Robertus Edy P</v>
      </c>
      <c r="P168" s="51" t="str">
        <f>VLOOKUP(N168,'[1]list PIC'!C:E,3,0)</f>
        <v>PROD SMGR</v>
      </c>
      <c r="Q168" s="11" t="s">
        <v>43</v>
      </c>
      <c r="R168" s="50" t="s">
        <v>692</v>
      </c>
      <c r="S168" s="11" t="s">
        <v>693</v>
      </c>
      <c r="T168" s="50" t="s">
        <v>44</v>
      </c>
      <c r="U168" s="50" t="str">
        <f>VLOOKUP(T168,'[1]list PIC'!C:E,2,0)</f>
        <v>Toni Wijaya</v>
      </c>
      <c r="V168" s="50" t="str">
        <f>VLOOKUP(T168,'[1]list PIC'!C:E,3,0)</f>
        <v>QA SSPV</v>
      </c>
      <c r="W168" s="50" t="s">
        <v>45</v>
      </c>
      <c r="X168" s="51" t="str">
        <f>VLOOKUP(W168,'[1]list PIC'!C:E,2,0)</f>
        <v>Evis Methawan</v>
      </c>
      <c r="Y168" s="51" t="str">
        <f>VLOOKUP(W168,'[1]list PIC'!C:E,3,0)</f>
        <v>QA MGR</v>
      </c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ht="31" x14ac:dyDescent="0.35">
      <c r="A169" s="9">
        <v>167</v>
      </c>
      <c r="B169" s="106"/>
      <c r="C169" s="33" t="s">
        <v>465</v>
      </c>
      <c r="D169" s="4" t="s">
        <v>466</v>
      </c>
      <c r="E169" s="5" t="s">
        <v>29</v>
      </c>
      <c r="F169" s="6" t="s">
        <v>30</v>
      </c>
      <c r="G169" s="6" t="s">
        <v>31</v>
      </c>
      <c r="H169" s="7" t="s">
        <v>408</v>
      </c>
      <c r="I169" s="50" t="str">
        <f>VLOOKUP(H169,'[1]list PIC'!C:E,2,0)</f>
        <v>Okti Vitasari</v>
      </c>
      <c r="J169" s="50" t="s">
        <v>689</v>
      </c>
      <c r="K169" s="55" t="s">
        <v>33</v>
      </c>
      <c r="L169" s="50" t="str">
        <f>VLOOKUP(K169,'[1]list PIC'!C:E,2,0)</f>
        <v>Endang Sriningsih</v>
      </c>
      <c r="M169" s="50" t="s">
        <v>745</v>
      </c>
      <c r="N169" s="50" t="s">
        <v>34</v>
      </c>
      <c r="O169" s="51" t="str">
        <f>VLOOKUP(N169,'[1]list PIC'!C:E,2,0)</f>
        <v>Robertus Edy P</v>
      </c>
      <c r="P169" s="51" t="str">
        <f>VLOOKUP(N169,'[1]list PIC'!C:E,3,0)</f>
        <v>PROD SMGR</v>
      </c>
      <c r="Q169" s="52"/>
      <c r="R169" s="52"/>
      <c r="S169" s="52"/>
      <c r="T169" s="52"/>
      <c r="U169" s="52"/>
      <c r="V169" s="52"/>
      <c r="W169" s="52"/>
      <c r="X169" s="52"/>
      <c r="Y169" s="52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ht="62" x14ac:dyDescent="0.35">
      <c r="A170" s="9">
        <v>168</v>
      </c>
      <c r="B170" s="106"/>
      <c r="C170" s="62" t="s">
        <v>467</v>
      </c>
      <c r="D170" s="4" t="s">
        <v>468</v>
      </c>
      <c r="E170" s="5" t="s">
        <v>270</v>
      </c>
      <c r="F170" s="6" t="s">
        <v>41</v>
      </c>
      <c r="G170" s="6" t="s">
        <v>42</v>
      </c>
      <c r="H170" s="11" t="s">
        <v>43</v>
      </c>
      <c r="I170" s="50" t="s">
        <v>692</v>
      </c>
      <c r="J170" s="11" t="s">
        <v>693</v>
      </c>
      <c r="K170" s="50" t="s">
        <v>44</v>
      </c>
      <c r="L170" s="50" t="str">
        <f>VLOOKUP(K170,'[1]list PIC'!C:E,2,0)</f>
        <v>Toni Wijaya</v>
      </c>
      <c r="M170" s="50" t="s">
        <v>694</v>
      </c>
      <c r="N170" s="50" t="s">
        <v>45</v>
      </c>
      <c r="O170" s="51" t="str">
        <f>VLOOKUP(N170,'[1]list PIC'!C:E,2,0)</f>
        <v>Evis Methawan</v>
      </c>
      <c r="P170" s="51" t="str">
        <f>VLOOKUP(N170,'[1]list PIC'!C:E,3,0)</f>
        <v>QA MGR</v>
      </c>
      <c r="Q170" s="52"/>
      <c r="R170" s="52"/>
      <c r="S170" s="52"/>
      <c r="T170" s="52"/>
      <c r="U170" s="52"/>
      <c r="V170" s="52"/>
      <c r="W170" s="52"/>
      <c r="X170" s="52"/>
      <c r="Y170" s="52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ht="31" x14ac:dyDescent="0.35">
      <c r="A171" s="9">
        <v>169</v>
      </c>
      <c r="B171" s="106"/>
      <c r="C171" s="33" t="s">
        <v>469</v>
      </c>
      <c r="D171" s="4" t="s">
        <v>470</v>
      </c>
      <c r="E171" s="5" t="s">
        <v>29</v>
      </c>
      <c r="F171" s="6" t="s">
        <v>30</v>
      </c>
      <c r="G171" s="6" t="s">
        <v>31</v>
      </c>
      <c r="H171" s="7" t="s">
        <v>408</v>
      </c>
      <c r="I171" s="50" t="str">
        <f>VLOOKUP(H171,'[1]list PIC'!C:E,2,0)</f>
        <v>Okti Vitasari</v>
      </c>
      <c r="J171" s="50" t="s">
        <v>689</v>
      </c>
      <c r="K171" s="55" t="s">
        <v>33</v>
      </c>
      <c r="L171" s="50" t="str">
        <f>VLOOKUP(K171,'[1]list PIC'!C:E,2,0)</f>
        <v>Endang Sriningsih</v>
      </c>
      <c r="M171" s="50" t="s">
        <v>745</v>
      </c>
      <c r="N171" s="50" t="s">
        <v>34</v>
      </c>
      <c r="O171" s="51" t="str">
        <f>VLOOKUP(N171,'[1]list PIC'!C:E,2,0)</f>
        <v>Robertus Edy P</v>
      </c>
      <c r="P171" s="51" t="str">
        <f>VLOOKUP(N171,'[1]list PIC'!C:E,3,0)</f>
        <v>PROD SMGR</v>
      </c>
      <c r="Q171" s="52"/>
      <c r="R171" s="52"/>
      <c r="S171" s="52"/>
      <c r="T171" s="52"/>
      <c r="U171" s="52"/>
      <c r="V171" s="52"/>
      <c r="W171" s="52"/>
      <c r="X171" s="52"/>
      <c r="Y171" s="52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ht="31" x14ac:dyDescent="0.35">
      <c r="A172" s="9">
        <v>170</v>
      </c>
      <c r="B172" s="106"/>
      <c r="C172" s="33" t="s">
        <v>471</v>
      </c>
      <c r="D172" s="4" t="s">
        <v>472</v>
      </c>
      <c r="E172" s="5" t="s">
        <v>40</v>
      </c>
      <c r="F172" s="6" t="s">
        <v>30</v>
      </c>
      <c r="G172" s="6" t="s">
        <v>31</v>
      </c>
      <c r="H172" s="7" t="s">
        <v>408</v>
      </c>
      <c r="I172" s="50" t="str">
        <f>VLOOKUP(H172,'[1]list PIC'!C:E,2,0)</f>
        <v>Okti Vitasari</v>
      </c>
      <c r="J172" s="50" t="s">
        <v>689</v>
      </c>
      <c r="K172" s="55" t="s">
        <v>33</v>
      </c>
      <c r="L172" s="50" t="str">
        <f>VLOOKUP(K172,'[1]list PIC'!C:E,2,0)</f>
        <v>Endang Sriningsih</v>
      </c>
      <c r="M172" s="50" t="s">
        <v>745</v>
      </c>
      <c r="N172" s="50" t="s">
        <v>34</v>
      </c>
      <c r="O172" s="51" t="str">
        <f>VLOOKUP(N172,'[1]list PIC'!C:E,2,0)</f>
        <v>Robertus Edy P</v>
      </c>
      <c r="P172" s="51" t="str">
        <f>VLOOKUP(N172,'[1]list PIC'!C:E,3,0)</f>
        <v>PROD SMGR</v>
      </c>
      <c r="Q172" s="52"/>
      <c r="R172" s="52"/>
      <c r="S172" s="52"/>
      <c r="T172" s="52"/>
      <c r="U172" s="52"/>
      <c r="V172" s="52"/>
      <c r="W172" s="52"/>
      <c r="X172" s="52"/>
      <c r="Y172" s="52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ht="31" x14ac:dyDescent="0.35">
      <c r="A173" s="9">
        <v>171</v>
      </c>
      <c r="B173" s="107"/>
      <c r="C173" s="33" t="s">
        <v>473</v>
      </c>
      <c r="D173" s="4" t="s">
        <v>474</v>
      </c>
      <c r="E173" s="5" t="s">
        <v>270</v>
      </c>
      <c r="F173" s="6" t="s">
        <v>475</v>
      </c>
      <c r="G173" s="6" t="s">
        <v>31</v>
      </c>
      <c r="H173" s="7" t="s">
        <v>408</v>
      </c>
      <c r="I173" s="50" t="str">
        <f>VLOOKUP(H173,'[1]list PIC'!C:E,2,0)</f>
        <v>Okti Vitasari</v>
      </c>
      <c r="J173" s="50" t="s">
        <v>689</v>
      </c>
      <c r="K173" s="55" t="s">
        <v>33</v>
      </c>
      <c r="L173" s="50" t="str">
        <f>VLOOKUP(K173,'[1]list PIC'!C:E,2,0)</f>
        <v>Endang Sriningsih</v>
      </c>
      <c r="M173" s="50" t="s">
        <v>745</v>
      </c>
      <c r="N173" s="50" t="s">
        <v>34</v>
      </c>
      <c r="O173" s="51" t="str">
        <f>VLOOKUP(N173,'[1]list PIC'!C:E,2,0)</f>
        <v>Robertus Edy P</v>
      </c>
      <c r="P173" s="51" t="str">
        <f>VLOOKUP(N173,'[1]list PIC'!C:E,3,0)</f>
        <v>PROD SMGR</v>
      </c>
      <c r="Q173" s="52"/>
      <c r="R173" s="52"/>
      <c r="S173" s="52"/>
      <c r="T173" s="52"/>
      <c r="U173" s="52"/>
      <c r="V173" s="52"/>
      <c r="W173" s="52"/>
      <c r="X173" s="52"/>
      <c r="Y173" s="52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ht="62" x14ac:dyDescent="0.35">
      <c r="A174" s="9">
        <v>172</v>
      </c>
      <c r="B174" s="53" t="s">
        <v>748</v>
      </c>
      <c r="C174" s="33" t="s">
        <v>476</v>
      </c>
      <c r="D174" s="4" t="s">
        <v>477</v>
      </c>
      <c r="E174" s="5" t="s">
        <v>23</v>
      </c>
      <c r="F174" s="6" t="s">
        <v>406</v>
      </c>
      <c r="G174" s="4" t="s">
        <v>407</v>
      </c>
      <c r="H174" s="11" t="s">
        <v>32</v>
      </c>
      <c r="I174" s="50" t="s">
        <v>687</v>
      </c>
      <c r="J174" s="11" t="s">
        <v>688</v>
      </c>
      <c r="K174" s="55" t="s">
        <v>33</v>
      </c>
      <c r="L174" s="50" t="str">
        <f>VLOOKUP(K174,'[1]list PIC'!C:E,2,0)</f>
        <v>Endang Sriningsih</v>
      </c>
      <c r="M174" s="50" t="s">
        <v>745</v>
      </c>
      <c r="N174" s="50" t="s">
        <v>34</v>
      </c>
      <c r="O174" s="51" t="str">
        <f>VLOOKUP(N174,'[1]list PIC'!C:E,2,0)</f>
        <v>Robertus Edy P</v>
      </c>
      <c r="P174" s="51" t="str">
        <f>VLOOKUP(N174,'[1]list PIC'!C:E,3,0)</f>
        <v>PROD SMGR</v>
      </c>
      <c r="Q174" s="11" t="s">
        <v>43</v>
      </c>
      <c r="R174" s="50" t="s">
        <v>692</v>
      </c>
      <c r="S174" s="11" t="s">
        <v>693</v>
      </c>
      <c r="T174" s="50" t="s">
        <v>44</v>
      </c>
      <c r="U174" s="50" t="str">
        <f>VLOOKUP(T174,'[1]list PIC'!C:E,2,0)</f>
        <v>Toni Wijaya</v>
      </c>
      <c r="V174" s="50" t="str">
        <f>VLOOKUP(T174,'[1]list PIC'!C:E,3,0)</f>
        <v>QA SSPV</v>
      </c>
      <c r="W174" s="50" t="s">
        <v>45</v>
      </c>
      <c r="X174" s="51" t="str">
        <f>VLOOKUP(W174,'[1]list PIC'!C:E,2,0)</f>
        <v>Evis Methawan</v>
      </c>
      <c r="Y174" s="51" t="str">
        <f>VLOOKUP(W174,'[1]list PIC'!C:E,3,0)</f>
        <v>QA MGR</v>
      </c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ht="62" x14ac:dyDescent="0.35">
      <c r="A175" s="9">
        <v>173</v>
      </c>
      <c r="B175" s="105" t="s">
        <v>749</v>
      </c>
      <c r="C175" s="32" t="s">
        <v>478</v>
      </c>
      <c r="D175" s="4" t="s">
        <v>479</v>
      </c>
      <c r="E175" s="5" t="s">
        <v>23</v>
      </c>
      <c r="F175" s="6" t="s">
        <v>406</v>
      </c>
      <c r="G175" s="4" t="s">
        <v>407</v>
      </c>
      <c r="H175" s="11" t="s">
        <v>32</v>
      </c>
      <c r="I175" s="50" t="s">
        <v>687</v>
      </c>
      <c r="J175" s="11" t="s">
        <v>688</v>
      </c>
      <c r="K175" s="55" t="s">
        <v>33</v>
      </c>
      <c r="L175" s="50" t="str">
        <f>VLOOKUP(K175,'[1]list PIC'!C:E,2,0)</f>
        <v>Endang Sriningsih</v>
      </c>
      <c r="M175" s="50" t="s">
        <v>745</v>
      </c>
      <c r="N175" s="50" t="s">
        <v>34</v>
      </c>
      <c r="O175" s="51" t="str">
        <f>VLOOKUP(N175,'[1]list PIC'!C:E,2,0)</f>
        <v>Robertus Edy P</v>
      </c>
      <c r="P175" s="51" t="str">
        <f>VLOOKUP(N175,'[1]list PIC'!C:E,3,0)</f>
        <v>PROD SMGR</v>
      </c>
      <c r="Q175" s="11" t="s">
        <v>43</v>
      </c>
      <c r="R175" s="50" t="s">
        <v>692</v>
      </c>
      <c r="S175" s="11" t="s">
        <v>693</v>
      </c>
      <c r="T175" s="50" t="s">
        <v>44</v>
      </c>
      <c r="U175" s="50" t="str">
        <f>VLOOKUP(T175,'[1]list PIC'!C:E,2,0)</f>
        <v>Toni Wijaya</v>
      </c>
      <c r="V175" s="50" t="str">
        <f>VLOOKUP(T175,'[1]list PIC'!C:E,3,0)</f>
        <v>QA SSPV</v>
      </c>
      <c r="W175" s="50" t="s">
        <v>45</v>
      </c>
      <c r="X175" s="51" t="str">
        <f>VLOOKUP(W175,'[1]list PIC'!C:E,2,0)</f>
        <v>Evis Methawan</v>
      </c>
      <c r="Y175" s="51" t="str">
        <f>VLOOKUP(W175,'[1]list PIC'!C:E,3,0)</f>
        <v>QA MGR</v>
      </c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ht="46.5" x14ac:dyDescent="0.35">
      <c r="A176" s="9">
        <v>174</v>
      </c>
      <c r="B176" s="106"/>
      <c r="C176" s="33" t="s">
        <v>480</v>
      </c>
      <c r="D176" s="4" t="s">
        <v>481</v>
      </c>
      <c r="E176" s="5" t="s">
        <v>23</v>
      </c>
      <c r="F176" s="6" t="s">
        <v>30</v>
      </c>
      <c r="G176" s="6" t="s">
        <v>31</v>
      </c>
      <c r="H176" s="11" t="s">
        <v>32</v>
      </c>
      <c r="I176" s="50" t="s">
        <v>687</v>
      </c>
      <c r="J176" s="11" t="s">
        <v>688</v>
      </c>
      <c r="K176" s="55" t="s">
        <v>33</v>
      </c>
      <c r="L176" s="50" t="str">
        <f>VLOOKUP(K176,'[1]list PIC'!C:E,2,0)</f>
        <v>Endang Sriningsih</v>
      </c>
      <c r="M176" s="50" t="s">
        <v>745</v>
      </c>
      <c r="N176" s="50" t="s">
        <v>34</v>
      </c>
      <c r="O176" s="51" t="str">
        <f>VLOOKUP(N176,'[1]list PIC'!C:E,2,0)</f>
        <v>Robertus Edy P</v>
      </c>
      <c r="P176" s="51" t="str">
        <f>VLOOKUP(N176,'[1]list PIC'!C:E,3,0)</f>
        <v>PROD SMGR</v>
      </c>
      <c r="Q176" s="52"/>
      <c r="R176" s="52"/>
      <c r="S176" s="52"/>
      <c r="T176" s="52"/>
      <c r="U176" s="52"/>
      <c r="V176" s="52"/>
      <c r="W176" s="52"/>
      <c r="X176" s="52"/>
      <c r="Y176" s="52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ht="62" x14ac:dyDescent="0.35">
      <c r="A177" s="9">
        <v>175</v>
      </c>
      <c r="B177" s="106"/>
      <c r="C177" s="33" t="s">
        <v>482</v>
      </c>
      <c r="D177" s="4" t="s">
        <v>483</v>
      </c>
      <c r="E177" s="15">
        <v>12</v>
      </c>
      <c r="F177" s="4" t="s">
        <v>41</v>
      </c>
      <c r="G177" s="6" t="s">
        <v>42</v>
      </c>
      <c r="H177" s="11" t="s">
        <v>43</v>
      </c>
      <c r="I177" s="50" t="s">
        <v>692</v>
      </c>
      <c r="J177" s="11" t="s">
        <v>693</v>
      </c>
      <c r="K177" s="50" t="s">
        <v>44</v>
      </c>
      <c r="L177" s="50" t="str">
        <f>VLOOKUP(K177,'[1]list PIC'!C:E,2,0)</f>
        <v>Toni Wijaya</v>
      </c>
      <c r="M177" s="50" t="s">
        <v>694</v>
      </c>
      <c r="N177" s="50" t="s">
        <v>45</v>
      </c>
      <c r="O177" s="51" t="str">
        <f>VLOOKUP(N177,'[1]list PIC'!C:E,2,0)</f>
        <v>Evis Methawan</v>
      </c>
      <c r="P177" s="51" t="str">
        <f>VLOOKUP(N177,'[1]list PIC'!C:E,3,0)</f>
        <v>QA MGR</v>
      </c>
      <c r="Q177" s="52"/>
      <c r="R177" s="52"/>
      <c r="S177" s="52"/>
      <c r="T177" s="52"/>
      <c r="U177" s="52"/>
      <c r="V177" s="52"/>
      <c r="W177" s="52"/>
      <c r="X177" s="52"/>
      <c r="Y177" s="52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ht="46.5" x14ac:dyDescent="0.35">
      <c r="A178" s="9">
        <v>176</v>
      </c>
      <c r="B178" s="106"/>
      <c r="C178" s="33" t="s">
        <v>484</v>
      </c>
      <c r="D178" s="4" t="s">
        <v>485</v>
      </c>
      <c r="E178" s="5" t="s">
        <v>20</v>
      </c>
      <c r="F178" s="6" t="s">
        <v>30</v>
      </c>
      <c r="G178" s="6" t="s">
        <v>31</v>
      </c>
      <c r="H178" s="11" t="s">
        <v>32</v>
      </c>
      <c r="I178" s="50" t="s">
        <v>687</v>
      </c>
      <c r="J178" s="11" t="s">
        <v>688</v>
      </c>
      <c r="K178" s="55" t="s">
        <v>33</v>
      </c>
      <c r="L178" s="50" t="str">
        <f>VLOOKUP(K178,'[1]list PIC'!C:E,2,0)</f>
        <v>Endang Sriningsih</v>
      </c>
      <c r="M178" s="50" t="s">
        <v>745</v>
      </c>
      <c r="N178" s="50" t="s">
        <v>34</v>
      </c>
      <c r="O178" s="51" t="str">
        <f>VLOOKUP(N178,'[1]list PIC'!C:E,2,0)</f>
        <v>Robertus Edy P</v>
      </c>
      <c r="P178" s="51" t="str">
        <f>VLOOKUP(N178,'[1]list PIC'!C:E,3,0)</f>
        <v>PROD SMGR</v>
      </c>
      <c r="Q178" s="52"/>
      <c r="R178" s="52"/>
      <c r="S178" s="52"/>
      <c r="T178" s="52"/>
      <c r="U178" s="52"/>
      <c r="V178" s="52"/>
      <c r="W178" s="52"/>
      <c r="X178" s="52"/>
      <c r="Y178" s="52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ht="46.5" x14ac:dyDescent="0.35">
      <c r="A179" s="9">
        <v>177</v>
      </c>
      <c r="B179" s="106"/>
      <c r="C179" s="33" t="s">
        <v>486</v>
      </c>
      <c r="D179" s="4" t="s">
        <v>487</v>
      </c>
      <c r="E179" s="5" t="s">
        <v>23</v>
      </c>
      <c r="F179" s="6" t="s">
        <v>30</v>
      </c>
      <c r="G179" s="6" t="s">
        <v>31</v>
      </c>
      <c r="H179" s="11" t="s">
        <v>32</v>
      </c>
      <c r="I179" s="50" t="s">
        <v>687</v>
      </c>
      <c r="J179" s="11" t="s">
        <v>688</v>
      </c>
      <c r="K179" s="55" t="s">
        <v>33</v>
      </c>
      <c r="L179" s="50" t="str">
        <f>VLOOKUP(K179,'[1]list PIC'!C:E,2,0)</f>
        <v>Endang Sriningsih</v>
      </c>
      <c r="M179" s="50" t="s">
        <v>745</v>
      </c>
      <c r="N179" s="50" t="s">
        <v>34</v>
      </c>
      <c r="O179" s="51" t="str">
        <f>VLOOKUP(N179,'[1]list PIC'!C:E,2,0)</f>
        <v>Robertus Edy P</v>
      </c>
      <c r="P179" s="51" t="str">
        <f>VLOOKUP(N179,'[1]list PIC'!C:E,3,0)</f>
        <v>PROD SMGR</v>
      </c>
      <c r="Q179" s="52"/>
      <c r="R179" s="52"/>
      <c r="S179" s="52"/>
      <c r="T179" s="52"/>
      <c r="U179" s="52"/>
      <c r="V179" s="52"/>
      <c r="W179" s="52"/>
      <c r="X179" s="52"/>
      <c r="Y179" s="52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ht="62" x14ac:dyDescent="0.35">
      <c r="A180" s="9">
        <v>178</v>
      </c>
      <c r="B180" s="106"/>
      <c r="C180" s="33" t="s">
        <v>488</v>
      </c>
      <c r="D180" s="4" t="s">
        <v>489</v>
      </c>
      <c r="E180" s="5" t="s">
        <v>23</v>
      </c>
      <c r="F180" s="6" t="s">
        <v>490</v>
      </c>
      <c r="G180" s="57" t="s">
        <v>491</v>
      </c>
      <c r="H180" s="11" t="s">
        <v>492</v>
      </c>
      <c r="I180" s="50" t="s">
        <v>750</v>
      </c>
      <c r="J180" s="11" t="s">
        <v>751</v>
      </c>
      <c r="K180" s="29" t="s">
        <v>493</v>
      </c>
      <c r="L180" s="50" t="str">
        <f>VLOOKUP(K180,'[1]list PIC'!C:E,2,0)</f>
        <v>Danny Harly S</v>
      </c>
      <c r="M180" s="50" t="s">
        <v>752</v>
      </c>
      <c r="N180" s="29" t="s">
        <v>494</v>
      </c>
      <c r="O180" s="51" t="str">
        <f>VLOOKUP(N180,'[1]list PIC'!C:E,2,0)</f>
        <v>Ratna Adi Yuniar</v>
      </c>
      <c r="P180" s="51" t="str">
        <f>VLOOKUP(N180,'[1]list PIC'!C:E,3,0)</f>
        <v>ENG MGR</v>
      </c>
      <c r="Q180" s="11" t="s">
        <v>43</v>
      </c>
      <c r="R180" s="50" t="s">
        <v>692</v>
      </c>
      <c r="S180" s="11" t="s">
        <v>693</v>
      </c>
      <c r="T180" s="50" t="s">
        <v>44</v>
      </c>
      <c r="U180" s="50" t="str">
        <f>VLOOKUP(T180,'[1]list PIC'!C:E,2,0)</f>
        <v>Toni Wijaya</v>
      </c>
      <c r="V180" s="50" t="str">
        <f>VLOOKUP(T180,'[1]list PIC'!C:E,3,0)</f>
        <v>QA SSPV</v>
      </c>
      <c r="W180" s="50" t="s">
        <v>45</v>
      </c>
      <c r="X180" s="51" t="str">
        <f>VLOOKUP(W180,'[1]list PIC'!C:E,2,0)</f>
        <v>Evis Methawan</v>
      </c>
      <c r="Y180" s="51" t="str">
        <f>VLOOKUP(W180,'[1]list PIC'!C:E,3,0)</f>
        <v>QA MGR</v>
      </c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ht="46.5" x14ac:dyDescent="0.35">
      <c r="A181" s="9">
        <v>179</v>
      </c>
      <c r="B181" s="106"/>
      <c r="C181" s="33" t="s">
        <v>495</v>
      </c>
      <c r="D181" s="4" t="s">
        <v>496</v>
      </c>
      <c r="E181" s="5" t="s">
        <v>23</v>
      </c>
      <c r="F181" s="6" t="s">
        <v>30</v>
      </c>
      <c r="G181" s="6" t="s">
        <v>31</v>
      </c>
      <c r="H181" s="11" t="s">
        <v>32</v>
      </c>
      <c r="I181" s="50" t="s">
        <v>687</v>
      </c>
      <c r="J181" s="11" t="s">
        <v>688</v>
      </c>
      <c r="K181" s="55" t="s">
        <v>33</v>
      </c>
      <c r="L181" s="50" t="str">
        <f>VLOOKUP(K181,'[1]list PIC'!C:E,2,0)</f>
        <v>Endang Sriningsih</v>
      </c>
      <c r="M181" s="50" t="s">
        <v>745</v>
      </c>
      <c r="N181" s="50" t="s">
        <v>34</v>
      </c>
      <c r="O181" s="51" t="str">
        <f>VLOOKUP(N181,'[1]list PIC'!C:E,2,0)</f>
        <v>Robertus Edy P</v>
      </c>
      <c r="P181" s="51" t="str">
        <f>VLOOKUP(N181,'[1]list PIC'!C:E,3,0)</f>
        <v>PROD SMGR</v>
      </c>
      <c r="Q181" s="52"/>
      <c r="R181" s="52"/>
      <c r="S181" s="52"/>
      <c r="T181" s="52"/>
      <c r="U181" s="52"/>
      <c r="V181" s="52"/>
      <c r="W181" s="52"/>
      <c r="X181" s="52"/>
      <c r="Y181" s="52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ht="46.5" x14ac:dyDescent="0.35">
      <c r="A182" s="9">
        <v>180</v>
      </c>
      <c r="B182" s="106"/>
      <c r="C182" s="33" t="s">
        <v>497</v>
      </c>
      <c r="D182" s="4" t="s">
        <v>498</v>
      </c>
      <c r="E182" s="5" t="s">
        <v>23</v>
      </c>
      <c r="F182" s="6" t="s">
        <v>30</v>
      </c>
      <c r="G182" s="6" t="s">
        <v>31</v>
      </c>
      <c r="H182" s="11" t="s">
        <v>32</v>
      </c>
      <c r="I182" s="50" t="s">
        <v>687</v>
      </c>
      <c r="J182" s="11" t="s">
        <v>688</v>
      </c>
      <c r="K182" s="55" t="s">
        <v>33</v>
      </c>
      <c r="L182" s="50" t="str">
        <f>VLOOKUP(K182,'[1]list PIC'!C:E,2,0)</f>
        <v>Endang Sriningsih</v>
      </c>
      <c r="M182" s="50" t="s">
        <v>745</v>
      </c>
      <c r="N182" s="50" t="s">
        <v>34</v>
      </c>
      <c r="O182" s="51" t="str">
        <f>VLOOKUP(N182,'[1]list PIC'!C:E,2,0)</f>
        <v>Robertus Edy P</v>
      </c>
      <c r="P182" s="51" t="str">
        <f>VLOOKUP(N182,'[1]list PIC'!C:E,3,0)</f>
        <v>PROD SMGR</v>
      </c>
      <c r="Q182" s="52"/>
      <c r="R182" s="52"/>
      <c r="S182" s="52"/>
      <c r="T182" s="52"/>
      <c r="U182" s="52"/>
      <c r="V182" s="52"/>
      <c r="W182" s="52"/>
      <c r="X182" s="52"/>
      <c r="Y182" s="52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ht="46.5" x14ac:dyDescent="0.35">
      <c r="A183" s="9">
        <v>181</v>
      </c>
      <c r="B183" s="106"/>
      <c r="C183" s="33" t="s">
        <v>499</v>
      </c>
      <c r="D183" s="4" t="s">
        <v>500</v>
      </c>
      <c r="E183" s="5" t="s">
        <v>40</v>
      </c>
      <c r="F183" s="6" t="s">
        <v>30</v>
      </c>
      <c r="G183" s="6" t="s">
        <v>31</v>
      </c>
      <c r="H183" s="11" t="s">
        <v>32</v>
      </c>
      <c r="I183" s="50" t="s">
        <v>687</v>
      </c>
      <c r="J183" s="11" t="s">
        <v>688</v>
      </c>
      <c r="K183" s="55" t="s">
        <v>33</v>
      </c>
      <c r="L183" s="50" t="str">
        <f>VLOOKUP(K183,'[1]list PIC'!C:E,2,0)</f>
        <v>Endang Sriningsih</v>
      </c>
      <c r="M183" s="50" t="s">
        <v>745</v>
      </c>
      <c r="N183" s="50" t="s">
        <v>34</v>
      </c>
      <c r="O183" s="51" t="str">
        <f>VLOOKUP(N183,'[1]list PIC'!C:E,2,0)</f>
        <v>Robertus Edy P</v>
      </c>
      <c r="P183" s="51" t="str">
        <f>VLOOKUP(N183,'[1]list PIC'!C:E,3,0)</f>
        <v>PROD SMGR</v>
      </c>
      <c r="Q183" s="52"/>
      <c r="R183" s="52"/>
      <c r="S183" s="52"/>
      <c r="T183" s="52"/>
      <c r="U183" s="52"/>
      <c r="V183" s="52"/>
      <c r="W183" s="52"/>
      <c r="X183" s="52"/>
      <c r="Y183" s="52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ht="46.5" x14ac:dyDescent="0.35">
      <c r="A184" s="9">
        <v>182</v>
      </c>
      <c r="B184" s="106"/>
      <c r="C184" s="33" t="s">
        <v>501</v>
      </c>
      <c r="D184" s="4" t="s">
        <v>502</v>
      </c>
      <c r="E184" s="5" t="s">
        <v>194</v>
      </c>
      <c r="F184" s="6" t="s">
        <v>30</v>
      </c>
      <c r="G184" s="6" t="s">
        <v>31</v>
      </c>
      <c r="H184" s="11" t="s">
        <v>32</v>
      </c>
      <c r="I184" s="50" t="s">
        <v>687</v>
      </c>
      <c r="J184" s="11" t="s">
        <v>688</v>
      </c>
      <c r="K184" s="55" t="s">
        <v>33</v>
      </c>
      <c r="L184" s="50" t="str">
        <f>VLOOKUP(K184,'[1]list PIC'!C:E,2,0)</f>
        <v>Endang Sriningsih</v>
      </c>
      <c r="M184" s="50" t="s">
        <v>745</v>
      </c>
      <c r="N184" s="50" t="s">
        <v>34</v>
      </c>
      <c r="O184" s="51" t="str">
        <f>VLOOKUP(N184,'[1]list PIC'!C:E,2,0)</f>
        <v>Robertus Edy P</v>
      </c>
      <c r="P184" s="51" t="str">
        <f>VLOOKUP(N184,'[1]list PIC'!C:E,3,0)</f>
        <v>PROD SMGR</v>
      </c>
      <c r="Q184" s="52"/>
      <c r="R184" s="52"/>
      <c r="S184" s="52"/>
      <c r="T184" s="52"/>
      <c r="U184" s="52"/>
      <c r="V184" s="52"/>
      <c r="W184" s="52"/>
      <c r="X184" s="52"/>
      <c r="Y184" s="52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ht="62" x14ac:dyDescent="0.35">
      <c r="A185" s="9">
        <v>183</v>
      </c>
      <c r="B185" s="106"/>
      <c r="C185" s="33" t="s">
        <v>503</v>
      </c>
      <c r="D185" s="4" t="s">
        <v>504</v>
      </c>
      <c r="E185" s="5">
        <v>11</v>
      </c>
      <c r="F185" s="6" t="s">
        <v>406</v>
      </c>
      <c r="G185" s="4" t="s">
        <v>407</v>
      </c>
      <c r="H185" s="11" t="s">
        <v>32</v>
      </c>
      <c r="I185" s="50" t="s">
        <v>687</v>
      </c>
      <c r="J185" s="11" t="s">
        <v>688</v>
      </c>
      <c r="K185" s="55" t="s">
        <v>33</v>
      </c>
      <c r="L185" s="50" t="str">
        <f>VLOOKUP(K185,'[1]list PIC'!C:E,2,0)</f>
        <v>Endang Sriningsih</v>
      </c>
      <c r="M185" s="50" t="s">
        <v>745</v>
      </c>
      <c r="N185" s="50" t="s">
        <v>34</v>
      </c>
      <c r="O185" s="51" t="str">
        <f>VLOOKUP(N185,'[1]list PIC'!C:E,2,0)</f>
        <v>Robertus Edy P</v>
      </c>
      <c r="P185" s="51" t="str">
        <f>VLOOKUP(N185,'[1]list PIC'!C:E,3,0)</f>
        <v>PROD SMGR</v>
      </c>
      <c r="Q185" s="11" t="s">
        <v>43</v>
      </c>
      <c r="R185" s="50" t="s">
        <v>692</v>
      </c>
      <c r="S185" s="11" t="s">
        <v>693</v>
      </c>
      <c r="T185" s="50" t="s">
        <v>44</v>
      </c>
      <c r="U185" s="50" t="str">
        <f>VLOOKUP(T185,'[1]list PIC'!C:E,2,0)</f>
        <v>Toni Wijaya</v>
      </c>
      <c r="V185" s="50" t="str">
        <f>VLOOKUP(T185,'[1]list PIC'!C:E,3,0)</f>
        <v>QA SSPV</v>
      </c>
      <c r="W185" s="50" t="s">
        <v>45</v>
      </c>
      <c r="X185" s="51" t="str">
        <f>VLOOKUP(W185,'[1]list PIC'!C:E,2,0)</f>
        <v>Evis Methawan</v>
      </c>
      <c r="Y185" s="51" t="str">
        <f>VLOOKUP(W185,'[1]list PIC'!C:E,3,0)</f>
        <v>QA MGR</v>
      </c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ht="46.5" x14ac:dyDescent="0.35">
      <c r="A186" s="9">
        <v>184</v>
      </c>
      <c r="B186" s="106"/>
      <c r="C186" s="33" t="s">
        <v>505</v>
      </c>
      <c r="D186" s="4" t="s">
        <v>506</v>
      </c>
      <c r="E186" s="5" t="s">
        <v>20</v>
      </c>
      <c r="F186" s="6" t="s">
        <v>30</v>
      </c>
      <c r="G186" s="6" t="s">
        <v>31</v>
      </c>
      <c r="H186" s="11" t="s">
        <v>32</v>
      </c>
      <c r="I186" s="50" t="s">
        <v>687</v>
      </c>
      <c r="J186" s="11" t="s">
        <v>688</v>
      </c>
      <c r="K186" s="55" t="s">
        <v>33</v>
      </c>
      <c r="L186" s="50" t="str">
        <f>VLOOKUP(K186,'[1]list PIC'!C:E,2,0)</f>
        <v>Endang Sriningsih</v>
      </c>
      <c r="M186" s="50" t="s">
        <v>745</v>
      </c>
      <c r="N186" s="50" t="s">
        <v>34</v>
      </c>
      <c r="O186" s="51" t="str">
        <f>VLOOKUP(N186,'[1]list PIC'!C:E,2,0)</f>
        <v>Robertus Edy P</v>
      </c>
      <c r="P186" s="51" t="str">
        <f>VLOOKUP(N186,'[1]list PIC'!C:E,3,0)</f>
        <v>PROD SMGR</v>
      </c>
      <c r="Q186" s="52"/>
      <c r="R186" s="52"/>
      <c r="S186" s="52"/>
      <c r="T186" s="52"/>
      <c r="U186" s="52"/>
      <c r="V186" s="52"/>
      <c r="W186" s="52"/>
      <c r="X186" s="52"/>
      <c r="Y186" s="52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ht="46.5" x14ac:dyDescent="0.35">
      <c r="A187" s="9">
        <v>185</v>
      </c>
      <c r="B187" s="107"/>
      <c r="C187" s="33" t="s">
        <v>507</v>
      </c>
      <c r="D187" s="4" t="s">
        <v>508</v>
      </c>
      <c r="E187" s="5" t="s">
        <v>23</v>
      </c>
      <c r="F187" s="6" t="s">
        <v>30</v>
      </c>
      <c r="G187" s="6" t="s">
        <v>31</v>
      </c>
      <c r="H187" s="11" t="s">
        <v>32</v>
      </c>
      <c r="I187" s="50" t="s">
        <v>687</v>
      </c>
      <c r="J187" s="11" t="s">
        <v>688</v>
      </c>
      <c r="K187" s="55" t="s">
        <v>33</v>
      </c>
      <c r="L187" s="50" t="str">
        <f>VLOOKUP(K187,'[1]list PIC'!C:E,2,0)</f>
        <v>Endang Sriningsih</v>
      </c>
      <c r="M187" s="50" t="s">
        <v>745</v>
      </c>
      <c r="N187" s="50" t="s">
        <v>34</v>
      </c>
      <c r="O187" s="51" t="str">
        <f>VLOOKUP(N187,'[1]list PIC'!C:E,2,0)</f>
        <v>Robertus Edy P</v>
      </c>
      <c r="P187" s="51" t="str">
        <f>VLOOKUP(N187,'[1]list PIC'!C:E,3,0)</f>
        <v>PROD SMGR</v>
      </c>
      <c r="Q187" s="52"/>
      <c r="R187" s="52"/>
      <c r="S187" s="52"/>
      <c r="T187" s="52"/>
      <c r="U187" s="52"/>
      <c r="V187" s="52"/>
      <c r="W187" s="52"/>
      <c r="X187" s="52"/>
      <c r="Y187" s="52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ht="62" x14ac:dyDescent="0.35">
      <c r="A188" s="9">
        <v>186</v>
      </c>
      <c r="B188" s="53" t="s">
        <v>753</v>
      </c>
      <c r="C188" s="33" t="s">
        <v>509</v>
      </c>
      <c r="D188" s="4" t="s">
        <v>510</v>
      </c>
      <c r="E188" s="5" t="s">
        <v>52</v>
      </c>
      <c r="F188" s="6" t="s">
        <v>41</v>
      </c>
      <c r="G188" s="6" t="s">
        <v>42</v>
      </c>
      <c r="H188" s="11" t="s">
        <v>43</v>
      </c>
      <c r="I188" s="50" t="s">
        <v>692</v>
      </c>
      <c r="J188" s="11" t="s">
        <v>693</v>
      </c>
      <c r="K188" s="50" t="s">
        <v>44</v>
      </c>
      <c r="L188" s="50" t="str">
        <f>VLOOKUP(K188,'[1]list PIC'!C:E,2,0)</f>
        <v>Toni Wijaya</v>
      </c>
      <c r="M188" s="50" t="s">
        <v>694</v>
      </c>
      <c r="N188" s="50" t="s">
        <v>45</v>
      </c>
      <c r="O188" s="51" t="str">
        <f>VLOOKUP(N188,'[1]list PIC'!C:E,2,0)</f>
        <v>Evis Methawan</v>
      </c>
      <c r="P188" s="51" t="str">
        <f>VLOOKUP(N188,'[1]list PIC'!C:E,3,0)</f>
        <v>QA MGR</v>
      </c>
      <c r="Q188" s="52"/>
      <c r="R188" s="52"/>
      <c r="S188" s="52"/>
      <c r="T188" s="52"/>
      <c r="U188" s="52"/>
      <c r="V188" s="52"/>
      <c r="W188" s="52"/>
      <c r="X188" s="52"/>
      <c r="Y188" s="52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ht="62" x14ac:dyDescent="0.35">
      <c r="A189" s="9">
        <v>187</v>
      </c>
      <c r="B189" s="105" t="s">
        <v>754</v>
      </c>
      <c r="C189" s="32" t="s">
        <v>511</v>
      </c>
      <c r="D189" s="6" t="s">
        <v>512</v>
      </c>
      <c r="E189" s="5">
        <v>10</v>
      </c>
      <c r="F189" s="6" t="s">
        <v>41</v>
      </c>
      <c r="G189" s="6" t="s">
        <v>42</v>
      </c>
      <c r="H189" s="11" t="s">
        <v>43</v>
      </c>
      <c r="I189" s="50" t="s">
        <v>692</v>
      </c>
      <c r="J189" s="11" t="s">
        <v>693</v>
      </c>
      <c r="K189" s="50" t="s">
        <v>44</v>
      </c>
      <c r="L189" s="50" t="str">
        <f>VLOOKUP(K189,'[1]list PIC'!C:E,2,0)</f>
        <v>Toni Wijaya</v>
      </c>
      <c r="M189" s="50" t="s">
        <v>694</v>
      </c>
      <c r="N189" s="50" t="s">
        <v>45</v>
      </c>
      <c r="O189" s="51" t="str">
        <f>VLOOKUP(N189,'[1]list PIC'!C:E,2,0)</f>
        <v>Evis Methawan</v>
      </c>
      <c r="P189" s="51" t="str">
        <f>VLOOKUP(N189,'[1]list PIC'!C:E,3,0)</f>
        <v>QA MGR</v>
      </c>
      <c r="Q189" s="52"/>
      <c r="R189" s="52"/>
      <c r="S189" s="52"/>
      <c r="T189" s="52"/>
      <c r="U189" s="52"/>
      <c r="V189" s="52"/>
      <c r="W189" s="52"/>
      <c r="X189" s="52"/>
      <c r="Y189" s="52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ht="62" x14ac:dyDescent="0.35">
      <c r="A190" s="9">
        <v>188</v>
      </c>
      <c r="B190" s="106"/>
      <c r="C190" s="33" t="s">
        <v>513</v>
      </c>
      <c r="D190" s="4" t="s">
        <v>514</v>
      </c>
      <c r="E190" s="5" t="s">
        <v>17</v>
      </c>
      <c r="F190" s="6" t="s">
        <v>406</v>
      </c>
      <c r="G190" s="4" t="s">
        <v>407</v>
      </c>
      <c r="H190" s="11" t="s">
        <v>32</v>
      </c>
      <c r="I190" s="50" t="s">
        <v>687</v>
      </c>
      <c r="J190" s="11" t="s">
        <v>688</v>
      </c>
      <c r="K190" s="55" t="s">
        <v>33</v>
      </c>
      <c r="L190" s="50" t="str">
        <f>VLOOKUP(K190,'[1]list PIC'!C:E,2,0)</f>
        <v>Endang Sriningsih</v>
      </c>
      <c r="M190" s="50" t="s">
        <v>745</v>
      </c>
      <c r="N190" s="50" t="s">
        <v>34</v>
      </c>
      <c r="O190" s="51" t="str">
        <f>VLOOKUP(N190,'[1]list PIC'!C:E,2,0)</f>
        <v>Robertus Edy P</v>
      </c>
      <c r="P190" s="51" t="str">
        <f>VLOOKUP(N190,'[1]list PIC'!C:E,3,0)</f>
        <v>PROD SMGR</v>
      </c>
      <c r="Q190" s="11" t="s">
        <v>43</v>
      </c>
      <c r="R190" s="50" t="s">
        <v>692</v>
      </c>
      <c r="S190" s="11" t="s">
        <v>693</v>
      </c>
      <c r="T190" s="50" t="s">
        <v>44</v>
      </c>
      <c r="U190" s="50" t="str">
        <f>VLOOKUP(T190,'[1]list PIC'!C:E,2,0)</f>
        <v>Toni Wijaya</v>
      </c>
      <c r="V190" s="50" t="str">
        <f>VLOOKUP(T190,'[1]list PIC'!C:E,3,0)</f>
        <v>QA SSPV</v>
      </c>
      <c r="W190" s="50" t="s">
        <v>45</v>
      </c>
      <c r="X190" s="51" t="str">
        <f>VLOOKUP(W190,'[1]list PIC'!C:E,2,0)</f>
        <v>Evis Methawan</v>
      </c>
      <c r="Y190" s="51" t="str">
        <f>VLOOKUP(W190,'[1]list PIC'!C:E,3,0)</f>
        <v>QA MGR</v>
      </c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ht="62" x14ac:dyDescent="0.35">
      <c r="A191" s="9">
        <v>189</v>
      </c>
      <c r="B191" s="106"/>
      <c r="C191" s="33" t="s">
        <v>515</v>
      </c>
      <c r="D191" s="4" t="s">
        <v>516</v>
      </c>
      <c r="E191" s="5" t="s">
        <v>194</v>
      </c>
      <c r="F191" s="6" t="s">
        <v>41</v>
      </c>
      <c r="G191" s="6" t="s">
        <v>42</v>
      </c>
      <c r="H191" s="11" t="s">
        <v>43</v>
      </c>
      <c r="I191" s="50" t="s">
        <v>692</v>
      </c>
      <c r="J191" s="11" t="s">
        <v>693</v>
      </c>
      <c r="K191" s="50" t="s">
        <v>44</v>
      </c>
      <c r="L191" s="50" t="str">
        <f>VLOOKUP(K191,'[1]list PIC'!C:E,2,0)</f>
        <v>Toni Wijaya</v>
      </c>
      <c r="M191" s="50" t="s">
        <v>694</v>
      </c>
      <c r="N191" s="50" t="s">
        <v>45</v>
      </c>
      <c r="O191" s="51" t="str">
        <f>VLOOKUP(N191,'[1]list PIC'!C:E,2,0)</f>
        <v>Evis Methawan</v>
      </c>
      <c r="P191" s="51" t="str">
        <f>VLOOKUP(N191,'[1]list PIC'!C:E,3,0)</f>
        <v>QA MGR</v>
      </c>
      <c r="Q191" s="52"/>
      <c r="R191" s="52"/>
      <c r="S191" s="52"/>
      <c r="T191" s="52"/>
      <c r="U191" s="52"/>
      <c r="V191" s="52"/>
      <c r="W191" s="52"/>
      <c r="X191" s="52"/>
      <c r="Y191" s="52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ht="62" x14ac:dyDescent="0.35">
      <c r="A192" s="9">
        <v>190</v>
      </c>
      <c r="B192" s="106"/>
      <c r="C192" s="32" t="s">
        <v>517</v>
      </c>
      <c r="D192" s="6" t="s">
        <v>518</v>
      </c>
      <c r="E192" s="5" t="s">
        <v>40</v>
      </c>
      <c r="F192" s="6" t="s">
        <v>41</v>
      </c>
      <c r="G192" s="6" t="s">
        <v>42</v>
      </c>
      <c r="H192" s="11" t="s">
        <v>43</v>
      </c>
      <c r="I192" s="50" t="s">
        <v>692</v>
      </c>
      <c r="J192" s="11" t="s">
        <v>693</v>
      </c>
      <c r="K192" s="50" t="s">
        <v>44</v>
      </c>
      <c r="L192" s="50" t="str">
        <f>VLOOKUP(K192,'[1]list PIC'!C:E,2,0)</f>
        <v>Toni Wijaya</v>
      </c>
      <c r="M192" s="50" t="s">
        <v>694</v>
      </c>
      <c r="N192" s="50" t="s">
        <v>45</v>
      </c>
      <c r="O192" s="51" t="str">
        <f>VLOOKUP(N192,'[1]list PIC'!C:E,2,0)</f>
        <v>Evis Methawan</v>
      </c>
      <c r="P192" s="51" t="str">
        <f>VLOOKUP(N192,'[1]list PIC'!C:E,3,0)</f>
        <v>QA MGR</v>
      </c>
      <c r="Q192" s="52"/>
      <c r="R192" s="52"/>
      <c r="S192" s="52"/>
      <c r="T192" s="52"/>
      <c r="U192" s="52"/>
      <c r="V192" s="52"/>
      <c r="W192" s="52"/>
      <c r="X192" s="52"/>
      <c r="Y192" s="52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ht="62" x14ac:dyDescent="0.35">
      <c r="A193" s="9">
        <v>191</v>
      </c>
      <c r="B193" s="106"/>
      <c r="C193" s="33" t="s">
        <v>519</v>
      </c>
      <c r="D193" s="4" t="s">
        <v>520</v>
      </c>
      <c r="E193" s="5" t="s">
        <v>20</v>
      </c>
      <c r="F193" s="6" t="s">
        <v>41</v>
      </c>
      <c r="G193" s="6" t="s">
        <v>42</v>
      </c>
      <c r="H193" s="11" t="s">
        <v>43</v>
      </c>
      <c r="I193" s="50" t="s">
        <v>692</v>
      </c>
      <c r="J193" s="11" t="s">
        <v>693</v>
      </c>
      <c r="K193" s="50" t="s">
        <v>44</v>
      </c>
      <c r="L193" s="50" t="str">
        <f>VLOOKUP(K193,'[1]list PIC'!C:E,2,0)</f>
        <v>Toni Wijaya</v>
      </c>
      <c r="M193" s="50" t="s">
        <v>694</v>
      </c>
      <c r="N193" s="50" t="s">
        <v>45</v>
      </c>
      <c r="O193" s="51" t="str">
        <f>VLOOKUP(N193,'[1]list PIC'!C:E,2,0)</f>
        <v>Evis Methawan</v>
      </c>
      <c r="P193" s="51" t="str">
        <f>VLOOKUP(N193,'[1]list PIC'!C:E,3,0)</f>
        <v>QA MGR</v>
      </c>
      <c r="Q193" s="52"/>
      <c r="R193" s="52"/>
      <c r="S193" s="52"/>
      <c r="T193" s="52"/>
      <c r="U193" s="52"/>
      <c r="V193" s="52"/>
      <c r="W193" s="52"/>
      <c r="X193" s="52"/>
      <c r="Y193" s="52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ht="62" x14ac:dyDescent="0.35">
      <c r="A194" s="9">
        <v>192</v>
      </c>
      <c r="B194" s="106"/>
      <c r="C194" s="33" t="s">
        <v>521</v>
      </c>
      <c r="D194" s="4" t="s">
        <v>522</v>
      </c>
      <c r="E194" s="5" t="s">
        <v>40</v>
      </c>
      <c r="F194" s="6" t="s">
        <v>41</v>
      </c>
      <c r="G194" s="6" t="s">
        <v>42</v>
      </c>
      <c r="H194" s="11" t="s">
        <v>43</v>
      </c>
      <c r="I194" s="50" t="s">
        <v>692</v>
      </c>
      <c r="J194" s="11" t="s">
        <v>693</v>
      </c>
      <c r="K194" s="50" t="s">
        <v>44</v>
      </c>
      <c r="L194" s="50" t="str">
        <f>VLOOKUP(K194,'[1]list PIC'!C:E,2,0)</f>
        <v>Toni Wijaya</v>
      </c>
      <c r="M194" s="50" t="s">
        <v>694</v>
      </c>
      <c r="N194" s="50" t="s">
        <v>45</v>
      </c>
      <c r="O194" s="51" t="str">
        <f>VLOOKUP(N194,'[1]list PIC'!C:E,2,0)</f>
        <v>Evis Methawan</v>
      </c>
      <c r="P194" s="51" t="str">
        <f>VLOOKUP(N194,'[1]list PIC'!C:E,3,0)</f>
        <v>QA MGR</v>
      </c>
      <c r="Q194" s="52"/>
      <c r="R194" s="52"/>
      <c r="S194" s="52"/>
      <c r="T194" s="52"/>
      <c r="U194" s="52"/>
      <c r="V194" s="52"/>
      <c r="W194" s="52"/>
      <c r="X194" s="52"/>
      <c r="Y194" s="52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ht="62" x14ac:dyDescent="0.35">
      <c r="A195" s="9">
        <v>193</v>
      </c>
      <c r="B195" s="106"/>
      <c r="C195" s="32" t="s">
        <v>523</v>
      </c>
      <c r="D195" s="4" t="s">
        <v>524</v>
      </c>
      <c r="E195" s="5" t="s">
        <v>40</v>
      </c>
      <c r="F195" s="6" t="s">
        <v>406</v>
      </c>
      <c r="G195" s="4" t="s">
        <v>407</v>
      </c>
      <c r="H195" s="11" t="s">
        <v>32</v>
      </c>
      <c r="I195" s="50" t="s">
        <v>687</v>
      </c>
      <c r="J195" s="11" t="s">
        <v>755</v>
      </c>
      <c r="K195" s="55" t="s">
        <v>33</v>
      </c>
      <c r="L195" s="50" t="str">
        <f>VLOOKUP(K195,'[1]list PIC'!C:E,2,0)</f>
        <v>Endang Sriningsih</v>
      </c>
      <c r="M195" s="50" t="s">
        <v>745</v>
      </c>
      <c r="N195" s="50" t="s">
        <v>34</v>
      </c>
      <c r="O195" s="51" t="str">
        <f>VLOOKUP(N195,'[1]list PIC'!C:E,2,0)</f>
        <v>Robertus Edy P</v>
      </c>
      <c r="P195" s="51" t="str">
        <f>VLOOKUP(N195,'[1]list PIC'!C:E,3,0)</f>
        <v>PROD SMGR</v>
      </c>
      <c r="Q195" s="11" t="s">
        <v>43</v>
      </c>
      <c r="R195" s="50" t="s">
        <v>692</v>
      </c>
      <c r="S195" s="11" t="s">
        <v>693</v>
      </c>
      <c r="T195" s="50" t="s">
        <v>44</v>
      </c>
      <c r="U195" s="50" t="str">
        <f>VLOOKUP(T195,'[1]list PIC'!C:E,2,0)</f>
        <v>Toni Wijaya</v>
      </c>
      <c r="V195" s="50" t="str">
        <f>VLOOKUP(T195,'[1]list PIC'!C:E,3,0)</f>
        <v>QA SSPV</v>
      </c>
      <c r="W195" s="50" t="s">
        <v>45</v>
      </c>
      <c r="X195" s="51" t="str">
        <f>VLOOKUP(W195,'[1]list PIC'!C:E,2,0)</f>
        <v>Evis Methawan</v>
      </c>
      <c r="Y195" s="51" t="str">
        <f>VLOOKUP(W195,'[1]list PIC'!C:E,3,0)</f>
        <v>QA MGR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ht="62" x14ac:dyDescent="0.35">
      <c r="A196" s="9">
        <v>194</v>
      </c>
      <c r="B196" s="106"/>
      <c r="C196" s="33" t="s">
        <v>525</v>
      </c>
      <c r="D196" s="4" t="s">
        <v>526</v>
      </c>
      <c r="E196" s="5">
        <v>16</v>
      </c>
      <c r="F196" s="6" t="s">
        <v>41</v>
      </c>
      <c r="G196" s="6" t="s">
        <v>42</v>
      </c>
      <c r="H196" s="11" t="s">
        <v>43</v>
      </c>
      <c r="I196" s="50" t="s">
        <v>692</v>
      </c>
      <c r="J196" s="11" t="s">
        <v>693</v>
      </c>
      <c r="K196" s="50" t="s">
        <v>44</v>
      </c>
      <c r="L196" s="50" t="str">
        <f>VLOOKUP(K196,'[1]list PIC'!C:E,2,0)</f>
        <v>Toni Wijaya</v>
      </c>
      <c r="M196" s="50" t="s">
        <v>694</v>
      </c>
      <c r="N196" s="50" t="s">
        <v>45</v>
      </c>
      <c r="O196" s="51" t="str">
        <f>VLOOKUP(N196,'[1]list PIC'!C:E,2,0)</f>
        <v>Evis Methawan</v>
      </c>
      <c r="P196" s="51" t="str">
        <f>VLOOKUP(N196,'[1]list PIC'!C:E,3,0)</f>
        <v>QA MGR</v>
      </c>
      <c r="Q196" s="52"/>
      <c r="R196" s="52"/>
      <c r="S196" s="52"/>
      <c r="T196" s="52"/>
      <c r="U196" s="52"/>
      <c r="V196" s="52"/>
      <c r="W196" s="52"/>
      <c r="X196" s="52"/>
      <c r="Y196" s="52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ht="62" x14ac:dyDescent="0.35">
      <c r="A197" s="9">
        <v>195</v>
      </c>
      <c r="B197" s="106"/>
      <c r="C197" s="32" t="s">
        <v>527</v>
      </c>
      <c r="D197" s="4" t="s">
        <v>528</v>
      </c>
      <c r="E197" s="5" t="s">
        <v>29</v>
      </c>
      <c r="F197" s="6" t="s">
        <v>41</v>
      </c>
      <c r="G197" s="6" t="s">
        <v>42</v>
      </c>
      <c r="H197" s="11" t="s">
        <v>43</v>
      </c>
      <c r="I197" s="50" t="s">
        <v>692</v>
      </c>
      <c r="J197" s="11" t="s">
        <v>693</v>
      </c>
      <c r="K197" s="50" t="s">
        <v>44</v>
      </c>
      <c r="L197" s="50" t="str">
        <f>VLOOKUP(K197,'[1]list PIC'!C:E,2,0)</f>
        <v>Toni Wijaya</v>
      </c>
      <c r="M197" s="50" t="s">
        <v>694</v>
      </c>
      <c r="N197" s="50" t="s">
        <v>45</v>
      </c>
      <c r="O197" s="51" t="str">
        <f>VLOOKUP(N197,'[1]list PIC'!C:E,2,0)</f>
        <v>Evis Methawan</v>
      </c>
      <c r="P197" s="51" t="str">
        <f>VLOOKUP(N197,'[1]list PIC'!C:E,3,0)</f>
        <v>QA MGR</v>
      </c>
      <c r="Q197" s="52"/>
      <c r="R197" s="52"/>
      <c r="S197" s="52"/>
      <c r="T197" s="52"/>
      <c r="U197" s="52"/>
      <c r="V197" s="52"/>
      <c r="W197" s="52"/>
      <c r="X197" s="52"/>
      <c r="Y197" s="52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ht="31" x14ac:dyDescent="0.35">
      <c r="A198" s="9">
        <v>196</v>
      </c>
      <c r="B198" s="106"/>
      <c r="C198" s="32" t="s">
        <v>529</v>
      </c>
      <c r="D198" s="6" t="s">
        <v>530</v>
      </c>
      <c r="E198" s="5">
        <v>10</v>
      </c>
      <c r="F198" s="4" t="s">
        <v>359</v>
      </c>
      <c r="G198" s="6" t="s">
        <v>360</v>
      </c>
      <c r="H198" s="7" t="s">
        <v>253</v>
      </c>
      <c r="I198" s="50" t="str">
        <f>VLOOKUP(H198,'[1]list PIC'!C:E,2,0)</f>
        <v>Sri Sepfi Setyowati</v>
      </c>
      <c r="J198" s="50" t="s">
        <v>727</v>
      </c>
      <c r="K198" s="50" t="s">
        <v>44</v>
      </c>
      <c r="L198" s="50" t="str">
        <f>VLOOKUP(K198,'[1]list PIC'!C:E,2,0)</f>
        <v>Toni Wijaya</v>
      </c>
      <c r="M198" s="50" t="s">
        <v>694</v>
      </c>
      <c r="N198" s="50" t="s">
        <v>45</v>
      </c>
      <c r="O198" s="51" t="str">
        <f>VLOOKUP(N198,'[1]list PIC'!C:E,2,0)</f>
        <v>Evis Methawan</v>
      </c>
      <c r="P198" s="51" t="str">
        <f>VLOOKUP(N198,'[1]list PIC'!C:E,3,0)</f>
        <v>QA MGR</v>
      </c>
      <c r="Q198" s="52"/>
      <c r="R198" s="52"/>
      <c r="S198" s="52"/>
      <c r="T198" s="52"/>
      <c r="U198" s="52"/>
      <c r="V198" s="52"/>
      <c r="W198" s="52"/>
      <c r="X198" s="52"/>
      <c r="Y198" s="52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ht="31" x14ac:dyDescent="0.35">
      <c r="A199" s="9">
        <v>197</v>
      </c>
      <c r="B199" s="106"/>
      <c r="C199" s="32" t="s">
        <v>531</v>
      </c>
      <c r="D199" s="4" t="s">
        <v>532</v>
      </c>
      <c r="E199" s="5" t="s">
        <v>37</v>
      </c>
      <c r="F199" s="4" t="s">
        <v>359</v>
      </c>
      <c r="G199" s="6" t="s">
        <v>360</v>
      </c>
      <c r="H199" s="7" t="s">
        <v>253</v>
      </c>
      <c r="I199" s="50" t="str">
        <f>VLOOKUP(H199,'[1]list PIC'!C:E,2,0)</f>
        <v>Sri Sepfi Setyowati</v>
      </c>
      <c r="J199" s="50" t="s">
        <v>727</v>
      </c>
      <c r="K199" s="50" t="s">
        <v>44</v>
      </c>
      <c r="L199" s="50" t="str">
        <f>VLOOKUP(K199,'[1]list PIC'!C:E,2,0)</f>
        <v>Toni Wijaya</v>
      </c>
      <c r="M199" s="50" t="s">
        <v>694</v>
      </c>
      <c r="N199" s="50" t="s">
        <v>45</v>
      </c>
      <c r="O199" s="51" t="str">
        <f>VLOOKUP(N199,'[1]list PIC'!C:E,2,0)</f>
        <v>Evis Methawan</v>
      </c>
      <c r="P199" s="51" t="str">
        <f>VLOOKUP(N199,'[1]list PIC'!C:E,3,0)</f>
        <v>QA MGR</v>
      </c>
      <c r="Q199" s="52"/>
      <c r="R199" s="52"/>
      <c r="S199" s="52"/>
      <c r="T199" s="52"/>
      <c r="U199" s="52"/>
      <c r="V199" s="52"/>
      <c r="W199" s="52"/>
      <c r="X199" s="52"/>
      <c r="Y199" s="52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ht="31" x14ac:dyDescent="0.35">
      <c r="A200" s="9">
        <v>198</v>
      </c>
      <c r="B200" s="106"/>
      <c r="C200" s="65" t="s">
        <v>533</v>
      </c>
      <c r="D200" s="4" t="s">
        <v>534</v>
      </c>
      <c r="E200" s="5" t="s">
        <v>194</v>
      </c>
      <c r="F200" s="4" t="s">
        <v>359</v>
      </c>
      <c r="G200" s="6" t="s">
        <v>360</v>
      </c>
      <c r="H200" s="7" t="s">
        <v>253</v>
      </c>
      <c r="I200" s="50" t="str">
        <f>VLOOKUP(H200,'[1]list PIC'!C:E,2,0)</f>
        <v>Sri Sepfi Setyowati</v>
      </c>
      <c r="J200" s="50" t="s">
        <v>727</v>
      </c>
      <c r="K200" s="50" t="s">
        <v>44</v>
      </c>
      <c r="L200" s="50" t="str">
        <f>VLOOKUP(K200,'[1]list PIC'!C:E,2,0)</f>
        <v>Toni Wijaya</v>
      </c>
      <c r="M200" s="50" t="s">
        <v>694</v>
      </c>
      <c r="N200" s="50" t="s">
        <v>45</v>
      </c>
      <c r="O200" s="51" t="str">
        <f>VLOOKUP(N200,'[1]list PIC'!C:E,2,0)</f>
        <v>Evis Methawan</v>
      </c>
      <c r="P200" s="51" t="str">
        <f>VLOOKUP(N200,'[1]list PIC'!C:E,3,0)</f>
        <v>QA MGR</v>
      </c>
      <c r="Q200" s="52"/>
      <c r="R200" s="52"/>
      <c r="S200" s="52"/>
      <c r="T200" s="52"/>
      <c r="U200" s="52"/>
      <c r="V200" s="52"/>
      <c r="W200" s="52"/>
      <c r="X200" s="52"/>
      <c r="Y200" s="52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ht="31" x14ac:dyDescent="0.35">
      <c r="A201" s="9">
        <v>199</v>
      </c>
      <c r="B201" s="107"/>
      <c r="C201" s="33" t="s">
        <v>535</v>
      </c>
      <c r="D201" s="4" t="s">
        <v>536</v>
      </c>
      <c r="E201" s="5" t="s">
        <v>23</v>
      </c>
      <c r="F201" s="4" t="s">
        <v>359</v>
      </c>
      <c r="G201" s="6" t="s">
        <v>360</v>
      </c>
      <c r="H201" s="7" t="s">
        <v>253</v>
      </c>
      <c r="I201" s="50" t="str">
        <f>VLOOKUP(H201,'[1]list PIC'!C:E,2,0)</f>
        <v>Sri Sepfi Setyowati</v>
      </c>
      <c r="J201" s="50" t="s">
        <v>727</v>
      </c>
      <c r="K201" s="50" t="s">
        <v>44</v>
      </c>
      <c r="L201" s="50" t="str">
        <f>VLOOKUP(K201,'[1]list PIC'!C:E,2,0)</f>
        <v>Toni Wijaya</v>
      </c>
      <c r="M201" s="50" t="s">
        <v>694</v>
      </c>
      <c r="N201" s="50" t="s">
        <v>45</v>
      </c>
      <c r="O201" s="51" t="str">
        <f>VLOOKUP(N201,'[1]list PIC'!C:E,2,0)</f>
        <v>Evis Methawan</v>
      </c>
      <c r="P201" s="51" t="str">
        <f>VLOOKUP(N201,'[1]list PIC'!C:E,3,0)</f>
        <v>QA MGR</v>
      </c>
      <c r="Q201" s="52"/>
      <c r="R201" s="52"/>
      <c r="S201" s="52"/>
      <c r="T201" s="52"/>
      <c r="U201" s="52"/>
      <c r="V201" s="52"/>
      <c r="W201" s="52"/>
      <c r="X201" s="52"/>
      <c r="Y201" s="52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ht="31" x14ac:dyDescent="0.35">
      <c r="A202" s="9">
        <v>200</v>
      </c>
      <c r="B202" s="53" t="s">
        <v>756</v>
      </c>
      <c r="C202" s="32" t="s">
        <v>537</v>
      </c>
      <c r="D202" s="4" t="s">
        <v>538</v>
      </c>
      <c r="E202" s="5">
        <v>10</v>
      </c>
      <c r="F202" s="6" t="s">
        <v>539</v>
      </c>
      <c r="G202" s="6" t="s">
        <v>540</v>
      </c>
      <c r="H202" s="7" t="s">
        <v>541</v>
      </c>
      <c r="I202" s="50" t="str">
        <f>VLOOKUP(H202,'[1]list PIC'!C:E,2,0)</f>
        <v>Arianto Setiawan</v>
      </c>
      <c r="J202" s="50" t="s">
        <v>757</v>
      </c>
      <c r="K202" s="50" t="s">
        <v>331</v>
      </c>
      <c r="L202" s="50" t="str">
        <f>VLOOKUP(K202,'[1]list PIC'!C:E,2,0)</f>
        <v>Dedy Hariawan</v>
      </c>
      <c r="M202" s="50" t="s">
        <v>758</v>
      </c>
      <c r="N202" s="50" t="s">
        <v>331</v>
      </c>
      <c r="O202" s="50" t="str">
        <f>VLOOKUP(N202,'[1]list PIC'!C:E,2,0)</f>
        <v>Dedy Hariawan</v>
      </c>
      <c r="P202" s="50" t="str">
        <f>VLOOKUP(N202,'[1]list PIC'!C:E,3,0)</f>
        <v>FATP-EXIM JMGR</v>
      </c>
      <c r="Q202" s="52"/>
      <c r="R202" s="52"/>
      <c r="S202" s="52"/>
      <c r="T202" s="52"/>
      <c r="U202" s="52"/>
      <c r="V202" s="52"/>
      <c r="W202" s="52"/>
      <c r="X202" s="52"/>
      <c r="Y202" s="52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ht="31" x14ac:dyDescent="0.35">
      <c r="A203" s="9">
        <v>201</v>
      </c>
      <c r="B203" s="105" t="s">
        <v>759</v>
      </c>
      <c r="C203" s="32" t="s">
        <v>542</v>
      </c>
      <c r="D203" s="4" t="s">
        <v>543</v>
      </c>
      <c r="E203" s="5" t="s">
        <v>76</v>
      </c>
      <c r="F203" s="6" t="s">
        <v>539</v>
      </c>
      <c r="G203" s="6" t="s">
        <v>540</v>
      </c>
      <c r="H203" s="7" t="s">
        <v>541</v>
      </c>
      <c r="I203" s="50" t="str">
        <f>VLOOKUP(H203,'[1]list PIC'!C:E,2,0)</f>
        <v>Arianto Setiawan</v>
      </c>
      <c r="J203" s="50" t="s">
        <v>757</v>
      </c>
      <c r="K203" s="50" t="s">
        <v>331</v>
      </c>
      <c r="L203" s="50" t="str">
        <f>VLOOKUP(K203,'[1]list PIC'!C:E,2,0)</f>
        <v>Dedy Hariawan</v>
      </c>
      <c r="M203" s="50" t="s">
        <v>758</v>
      </c>
      <c r="N203" s="50" t="s">
        <v>331</v>
      </c>
      <c r="O203" s="50" t="str">
        <f>VLOOKUP(N203,'[1]list PIC'!C:E,2,0)</f>
        <v>Dedy Hariawan</v>
      </c>
      <c r="P203" s="50" t="str">
        <f>VLOOKUP(N203,'[1]list PIC'!C:E,3,0)</f>
        <v>FATP-EXIM JMGR</v>
      </c>
      <c r="Q203" s="52"/>
      <c r="R203" s="52"/>
      <c r="S203" s="52"/>
      <c r="T203" s="52"/>
      <c r="U203" s="52"/>
      <c r="V203" s="52"/>
      <c r="W203" s="52"/>
      <c r="X203" s="52"/>
      <c r="Y203" s="52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ht="31" x14ac:dyDescent="0.35">
      <c r="A204" s="9">
        <v>202</v>
      </c>
      <c r="B204" s="106"/>
      <c r="C204" s="32" t="s">
        <v>544</v>
      </c>
      <c r="D204" s="4" t="s">
        <v>545</v>
      </c>
      <c r="E204" s="5" t="s">
        <v>23</v>
      </c>
      <c r="F204" s="6" t="s">
        <v>539</v>
      </c>
      <c r="G204" s="6" t="s">
        <v>540</v>
      </c>
      <c r="H204" s="7" t="s">
        <v>541</v>
      </c>
      <c r="I204" s="50" t="str">
        <f>VLOOKUP(H204,'[1]list PIC'!C:E,2,0)</f>
        <v>Arianto Setiawan</v>
      </c>
      <c r="J204" s="50" t="s">
        <v>757</v>
      </c>
      <c r="K204" s="50" t="s">
        <v>331</v>
      </c>
      <c r="L204" s="50" t="str">
        <f>VLOOKUP(K204,'[1]list PIC'!C:E,2,0)</f>
        <v>Dedy Hariawan</v>
      </c>
      <c r="M204" s="50" t="s">
        <v>758</v>
      </c>
      <c r="N204" s="50" t="s">
        <v>331</v>
      </c>
      <c r="O204" s="50" t="str">
        <f>VLOOKUP(N204,'[1]list PIC'!C:E,2,0)</f>
        <v>Dedy Hariawan</v>
      </c>
      <c r="P204" s="50" t="str">
        <f>VLOOKUP(N204,'[1]list PIC'!C:E,3,0)</f>
        <v>FATP-EXIM JMGR</v>
      </c>
      <c r="Q204" s="52"/>
      <c r="R204" s="52"/>
      <c r="S204" s="52"/>
      <c r="T204" s="52"/>
      <c r="U204" s="52"/>
      <c r="V204" s="52"/>
      <c r="W204" s="52"/>
      <c r="X204" s="52"/>
      <c r="Y204" s="52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ht="31" x14ac:dyDescent="0.35">
      <c r="A205" s="9">
        <v>203</v>
      </c>
      <c r="B205" s="106"/>
      <c r="C205" s="32" t="s">
        <v>546</v>
      </c>
      <c r="D205" s="4" t="s">
        <v>547</v>
      </c>
      <c r="E205" s="5" t="s">
        <v>20</v>
      </c>
      <c r="F205" s="6" t="s">
        <v>277</v>
      </c>
      <c r="G205" s="6" t="s">
        <v>231</v>
      </c>
      <c r="H205" s="22" t="s">
        <v>232</v>
      </c>
      <c r="I205" s="50" t="s">
        <v>723</v>
      </c>
      <c r="J205" s="22" t="s">
        <v>760</v>
      </c>
      <c r="K205" s="22" t="s">
        <v>233</v>
      </c>
      <c r="L205" s="50" t="str">
        <f>VLOOKUP(K205,'[1]list PIC'!C:E,2,0)</f>
        <v>Evaningsih M</v>
      </c>
      <c r="M205" s="50" t="s">
        <v>725</v>
      </c>
      <c r="N205" s="22" t="s">
        <v>234</v>
      </c>
      <c r="O205" s="51" t="str">
        <f>VLOOKUP(N205,'[1]list PIC'!C:E,2,0)</f>
        <v>Dedi Kurniawan P</v>
      </c>
      <c r="P205" s="51" t="str">
        <f>VLOOKUP(N205,'[1]list PIC'!C:E,3,0)</f>
        <v>PPC JMGR</v>
      </c>
      <c r="Q205" s="52"/>
      <c r="R205" s="52"/>
      <c r="S205" s="52"/>
      <c r="T205" s="52"/>
      <c r="U205" s="52"/>
      <c r="V205" s="52"/>
      <c r="W205" s="52"/>
      <c r="X205" s="52"/>
      <c r="Y205" s="52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ht="31" x14ac:dyDescent="0.35">
      <c r="A206" s="9">
        <v>204</v>
      </c>
      <c r="B206" s="106"/>
      <c r="C206" s="58" t="s">
        <v>548</v>
      </c>
      <c r="D206" s="4" t="s">
        <v>549</v>
      </c>
      <c r="E206" s="5" t="s">
        <v>29</v>
      </c>
      <c r="F206" s="6" t="s">
        <v>277</v>
      </c>
      <c r="G206" s="6" t="s">
        <v>231</v>
      </c>
      <c r="H206" s="22" t="s">
        <v>232</v>
      </c>
      <c r="I206" s="50" t="s">
        <v>723</v>
      </c>
      <c r="J206" s="22" t="s">
        <v>760</v>
      </c>
      <c r="K206" s="22" t="s">
        <v>233</v>
      </c>
      <c r="L206" s="50" t="str">
        <f>VLOOKUP(K206,'[1]list PIC'!C:E,2,0)</f>
        <v>Evaningsih M</v>
      </c>
      <c r="M206" s="50" t="s">
        <v>725</v>
      </c>
      <c r="N206" s="22" t="s">
        <v>234</v>
      </c>
      <c r="O206" s="51" t="str">
        <f>VLOOKUP(N206,'[1]list PIC'!C:E,2,0)</f>
        <v>Dedi Kurniawan P</v>
      </c>
      <c r="P206" s="51" t="str">
        <f>VLOOKUP(N206,'[1]list PIC'!C:E,3,0)</f>
        <v>PPC JMGR</v>
      </c>
      <c r="Q206" s="52"/>
      <c r="R206" s="52"/>
      <c r="S206" s="52"/>
      <c r="T206" s="52"/>
      <c r="U206" s="52"/>
      <c r="V206" s="52"/>
      <c r="W206" s="52"/>
      <c r="X206" s="52"/>
      <c r="Y206" s="52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ht="31" x14ac:dyDescent="0.35">
      <c r="A207" s="9">
        <v>205</v>
      </c>
      <c r="B207" s="107"/>
      <c r="C207" s="58" t="s">
        <v>550</v>
      </c>
      <c r="D207" s="4" t="s">
        <v>551</v>
      </c>
      <c r="E207" s="5" t="s">
        <v>20</v>
      </c>
      <c r="F207" s="6" t="s">
        <v>277</v>
      </c>
      <c r="G207" s="6" t="s">
        <v>231</v>
      </c>
      <c r="H207" s="22" t="s">
        <v>232</v>
      </c>
      <c r="I207" s="50" t="s">
        <v>723</v>
      </c>
      <c r="J207" s="22" t="s">
        <v>760</v>
      </c>
      <c r="K207" s="22" t="s">
        <v>233</v>
      </c>
      <c r="L207" s="50" t="str">
        <f>VLOOKUP(K207,'[1]list PIC'!C:E,2,0)</f>
        <v>Evaningsih M</v>
      </c>
      <c r="M207" s="50" t="s">
        <v>725</v>
      </c>
      <c r="N207" s="22" t="s">
        <v>234</v>
      </c>
      <c r="O207" s="51" t="str">
        <f>VLOOKUP(N207,'[1]list PIC'!C:E,2,0)</f>
        <v>Dedi Kurniawan P</v>
      </c>
      <c r="P207" s="51" t="str">
        <f>VLOOKUP(N207,'[1]list PIC'!C:E,3,0)</f>
        <v>PPC JMGR</v>
      </c>
      <c r="Q207" s="52"/>
      <c r="R207" s="52"/>
      <c r="S207" s="52"/>
      <c r="T207" s="52"/>
      <c r="U207" s="52"/>
      <c r="V207" s="52"/>
      <c r="W207" s="52"/>
      <c r="X207" s="52"/>
      <c r="Y207" s="52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ht="31" x14ac:dyDescent="0.35">
      <c r="A208" s="9">
        <v>206</v>
      </c>
      <c r="B208" s="53" t="s">
        <v>761</v>
      </c>
      <c r="C208" s="33" t="s">
        <v>552</v>
      </c>
      <c r="D208" s="4" t="s">
        <v>553</v>
      </c>
      <c r="E208" s="5" t="s">
        <v>76</v>
      </c>
      <c r="F208" s="6" t="s">
        <v>554</v>
      </c>
      <c r="G208" s="57" t="s">
        <v>555</v>
      </c>
      <c r="H208" s="7" t="s">
        <v>556</v>
      </c>
      <c r="I208" s="50" t="str">
        <f>VLOOKUP(H208,'[1]list PIC'!C:E,2,0)</f>
        <v>Aris Cahyono</v>
      </c>
      <c r="J208" s="50" t="s">
        <v>762</v>
      </c>
      <c r="K208" s="50" t="s">
        <v>351</v>
      </c>
      <c r="L208" s="50" t="str">
        <f>VLOOKUP(K208,'[1]list PIC'!C:E,2,0)</f>
        <v>Hayu Prasetyo U</v>
      </c>
      <c r="M208" s="50" t="s">
        <v>763</v>
      </c>
      <c r="N208" s="50" t="s">
        <v>71</v>
      </c>
      <c r="O208" s="51" t="str">
        <f>VLOOKUP(N208,'[1]list PIC'!C:E,2,0)</f>
        <v>Cahyo Adi Nugroho</v>
      </c>
      <c r="P208" s="51" t="str">
        <f>VLOOKUP(N208,'[1]list PIC'!C:E,3,0)</f>
        <v>PGA SMGR</v>
      </c>
      <c r="Q208" s="50" t="s">
        <v>175</v>
      </c>
      <c r="R208" s="50" t="str">
        <f>VLOOKUP(Q208,'[1]list PIC'!C:E,2,0)</f>
        <v>Hendy Mustika Adi</v>
      </c>
      <c r="S208" s="50" t="str">
        <f>VLOOKUP(Q208,'[1]list PIC'!C:E,3,0)</f>
        <v>IT SPV</v>
      </c>
      <c r="T208" s="50" t="s">
        <v>71</v>
      </c>
      <c r="U208" s="50" t="str">
        <f>VLOOKUP(T208,'[1]list PIC'!C:E,2,0)</f>
        <v>Cahyo Adi Nugroho</v>
      </c>
      <c r="V208" s="50" t="str">
        <f>VLOOKUP(T208,'[1]list PIC'!C:E,3,0)</f>
        <v>PGA SMGR</v>
      </c>
      <c r="W208" s="50" t="s">
        <v>71</v>
      </c>
      <c r="X208" s="51" t="str">
        <f>VLOOKUP(W208,'[1]list PIC'!C:E,2,0)</f>
        <v>Cahyo Adi Nugroho</v>
      </c>
      <c r="Y208" s="51" t="str">
        <f>VLOOKUP(W208,'[1]list PIC'!C:E,3,0)</f>
        <v>PGA SMGR</v>
      </c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ht="15.5" x14ac:dyDescent="0.35">
      <c r="A209" s="9">
        <v>207</v>
      </c>
      <c r="B209" s="105" t="s">
        <v>764</v>
      </c>
      <c r="C209" s="33" t="s">
        <v>557</v>
      </c>
      <c r="D209" s="4" t="s">
        <v>558</v>
      </c>
      <c r="E209" s="5" t="s">
        <v>20</v>
      </c>
      <c r="F209" s="6" t="s">
        <v>559</v>
      </c>
      <c r="G209" s="6" t="s">
        <v>560</v>
      </c>
      <c r="H209" s="7" t="s">
        <v>561</v>
      </c>
      <c r="I209" s="50" t="str">
        <f>VLOOKUP(H209,'[1]list PIC'!C:E,2,0)</f>
        <v>M Chasan Basri</v>
      </c>
      <c r="J209" s="50" t="s">
        <v>765</v>
      </c>
      <c r="K209" s="50" t="s">
        <v>90</v>
      </c>
      <c r="L209" s="50" t="str">
        <f>VLOOKUP(K209,'[1]list PIC'!C:E,2,0)</f>
        <v>Kholiq Imam W</v>
      </c>
      <c r="M209" s="50" t="str">
        <f>VLOOKUP(K209,'[1]list PIC'!C:E,3,0)</f>
        <v>MTC MGR</v>
      </c>
      <c r="N209" s="50" t="s">
        <v>90</v>
      </c>
      <c r="O209" s="51" t="str">
        <f>VLOOKUP(N209,'[1]list PIC'!C:E,2,0)</f>
        <v>Kholiq Imam W</v>
      </c>
      <c r="P209" s="51" t="str">
        <f>VLOOKUP(N209,'[1]list PIC'!C:E,3,0)</f>
        <v>MTC MGR</v>
      </c>
      <c r="Q209" s="52"/>
      <c r="R209" s="52"/>
      <c r="S209" s="52"/>
      <c r="T209" s="52"/>
      <c r="U209" s="52"/>
      <c r="V209" s="52"/>
      <c r="W209" s="52"/>
      <c r="X209" s="52"/>
      <c r="Y209" s="52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ht="31" x14ac:dyDescent="0.35">
      <c r="A210" s="9">
        <v>208</v>
      </c>
      <c r="B210" s="106"/>
      <c r="C210" s="32" t="s">
        <v>562</v>
      </c>
      <c r="D210" s="4" t="s">
        <v>563</v>
      </c>
      <c r="E210" s="5" t="s">
        <v>194</v>
      </c>
      <c r="F210" s="6" t="s">
        <v>151</v>
      </c>
      <c r="G210" s="6" t="s">
        <v>564</v>
      </c>
      <c r="H210" s="6" t="s">
        <v>565</v>
      </c>
      <c r="I210" s="50" t="str">
        <f>VLOOKUP(H210,'[1]list PIC'!C:E,2,0)</f>
        <v>Hary Setyo W</v>
      </c>
      <c r="J210" s="50" t="str">
        <f>VLOOKUP(H210,'[1]list PIC'!C:E,3,0)</f>
        <v>NYS SPV</v>
      </c>
      <c r="K210" s="29" t="s">
        <v>154</v>
      </c>
      <c r="L210" s="50" t="str">
        <f>VLOOKUP(K210,'[1]list PIC'!C:E,2,0)</f>
        <v>Umar Fahroni</v>
      </c>
      <c r="M210" s="50" t="s">
        <v>713</v>
      </c>
      <c r="N210" s="29" t="s">
        <v>155</v>
      </c>
      <c r="O210" s="51" t="str">
        <f>VLOOKUP(N210,'[1]list PIC'!C:E,2,0)</f>
        <v>Teguh Wicaksono</v>
      </c>
      <c r="P210" s="51" t="str">
        <f>VLOOKUP(N210,'[1]list PIC'!C:E,3,0)</f>
        <v>NYS MGR</v>
      </c>
      <c r="Q210" s="52"/>
      <c r="R210" s="52"/>
      <c r="S210" s="52"/>
      <c r="T210" s="52"/>
      <c r="U210" s="52"/>
      <c r="V210" s="52"/>
      <c r="W210" s="52"/>
      <c r="X210" s="52"/>
      <c r="Y210" s="52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ht="31" x14ac:dyDescent="0.35">
      <c r="A211" s="9">
        <v>209</v>
      </c>
      <c r="B211" s="106"/>
      <c r="C211" s="33" t="s">
        <v>566</v>
      </c>
      <c r="D211" s="4" t="s">
        <v>567</v>
      </c>
      <c r="E211" s="5" t="s">
        <v>40</v>
      </c>
      <c r="F211" s="6" t="s">
        <v>568</v>
      </c>
      <c r="G211" s="6" t="s">
        <v>569</v>
      </c>
      <c r="H211" s="7" t="s">
        <v>570</v>
      </c>
      <c r="I211" s="50" t="str">
        <f>VLOOKUP(H211,'[1]list PIC'!C:E,2,0)</f>
        <v>Kartono</v>
      </c>
      <c r="J211" s="50" t="s">
        <v>766</v>
      </c>
      <c r="K211" s="50" t="s">
        <v>493</v>
      </c>
      <c r="L211" s="50" t="str">
        <f>VLOOKUP(K211,'[1]list PIC'!C:E,2,0)</f>
        <v>Danny Harly S</v>
      </c>
      <c r="M211" s="50" t="s">
        <v>752</v>
      </c>
      <c r="N211" s="50" t="s">
        <v>494</v>
      </c>
      <c r="O211" s="51" t="str">
        <f>VLOOKUP(N211,'[1]list PIC'!C:E,2,0)</f>
        <v>Ratna Adi Yuniar</v>
      </c>
      <c r="P211" s="51" t="str">
        <f>VLOOKUP(N211,'[1]list PIC'!C:E,3,0)</f>
        <v>ENG MGR</v>
      </c>
      <c r="Q211" s="52"/>
      <c r="R211" s="52"/>
      <c r="S211" s="52"/>
      <c r="T211" s="52"/>
      <c r="U211" s="52"/>
      <c r="V211" s="52"/>
      <c r="W211" s="52"/>
      <c r="X211" s="52"/>
      <c r="Y211" s="52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ht="31" x14ac:dyDescent="0.35">
      <c r="A212" s="9">
        <v>210</v>
      </c>
      <c r="B212" s="106"/>
      <c r="C212" s="33" t="s">
        <v>571</v>
      </c>
      <c r="D212" s="4" t="s">
        <v>572</v>
      </c>
      <c r="E212" s="5" t="s">
        <v>29</v>
      </c>
      <c r="F212" s="6" t="s">
        <v>568</v>
      </c>
      <c r="G212" s="6" t="s">
        <v>569</v>
      </c>
      <c r="H212" s="7" t="s">
        <v>570</v>
      </c>
      <c r="I212" s="50" t="str">
        <f>VLOOKUP(H212,'[1]list PIC'!C:E,2,0)</f>
        <v>Kartono</v>
      </c>
      <c r="J212" s="50" t="s">
        <v>766</v>
      </c>
      <c r="K212" s="50" t="s">
        <v>493</v>
      </c>
      <c r="L212" s="50" t="str">
        <f>VLOOKUP(K212,'[1]list PIC'!C:E,2,0)</f>
        <v>Danny Harly S</v>
      </c>
      <c r="M212" s="50" t="s">
        <v>752</v>
      </c>
      <c r="N212" s="50" t="s">
        <v>494</v>
      </c>
      <c r="O212" s="51" t="str">
        <f>VLOOKUP(N212,'[1]list PIC'!C:E,2,0)</f>
        <v>Ratna Adi Yuniar</v>
      </c>
      <c r="P212" s="51" t="str">
        <f>VLOOKUP(N212,'[1]list PIC'!C:E,3,0)</f>
        <v>ENG MGR</v>
      </c>
      <c r="Q212" s="52"/>
      <c r="R212" s="52"/>
      <c r="S212" s="52"/>
      <c r="T212" s="52"/>
      <c r="U212" s="52"/>
      <c r="V212" s="52"/>
      <c r="W212" s="52"/>
      <c r="X212" s="52"/>
      <c r="Y212" s="52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ht="46.5" x14ac:dyDescent="0.35">
      <c r="A213" s="9">
        <v>211</v>
      </c>
      <c r="B213" s="106"/>
      <c r="C213" s="33" t="s">
        <v>573</v>
      </c>
      <c r="D213" s="4" t="s">
        <v>574</v>
      </c>
      <c r="E213" s="5" t="s">
        <v>76</v>
      </c>
      <c r="F213" s="6" t="s">
        <v>30</v>
      </c>
      <c r="G213" s="6" t="s">
        <v>31</v>
      </c>
      <c r="H213" s="11" t="s">
        <v>32</v>
      </c>
      <c r="I213" s="50" t="s">
        <v>687</v>
      </c>
      <c r="J213" s="11" t="s">
        <v>755</v>
      </c>
      <c r="K213" s="55" t="s">
        <v>33</v>
      </c>
      <c r="L213" s="50" t="str">
        <f>VLOOKUP(K213,'[1]list PIC'!C:E,2,0)</f>
        <v>Endang Sriningsih</v>
      </c>
      <c r="M213" s="50" t="s">
        <v>745</v>
      </c>
      <c r="N213" s="50" t="s">
        <v>34</v>
      </c>
      <c r="O213" s="51" t="str">
        <f>VLOOKUP(N213,'[1]list PIC'!C:E,2,0)</f>
        <v>Robertus Edy P</v>
      </c>
      <c r="P213" s="51" t="str">
        <f>VLOOKUP(N213,'[1]list PIC'!C:E,3,0)</f>
        <v>PROD SMGR</v>
      </c>
      <c r="Q213" s="52"/>
      <c r="R213" s="52"/>
      <c r="S213" s="52"/>
      <c r="T213" s="52"/>
      <c r="U213" s="52"/>
      <c r="V213" s="52"/>
      <c r="W213" s="52"/>
      <c r="X213" s="52"/>
      <c r="Y213" s="52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ht="31" x14ac:dyDescent="0.35">
      <c r="A214" s="9">
        <v>212</v>
      </c>
      <c r="B214" s="106"/>
      <c r="C214" s="66" t="s">
        <v>575</v>
      </c>
      <c r="D214" s="4" t="s">
        <v>576</v>
      </c>
      <c r="E214" s="5" t="s">
        <v>194</v>
      </c>
      <c r="F214" s="6" t="s">
        <v>577</v>
      </c>
      <c r="G214" s="57" t="s">
        <v>578</v>
      </c>
      <c r="H214" s="7" t="s">
        <v>570</v>
      </c>
      <c r="I214" s="50" t="str">
        <f>VLOOKUP(H214,'[1]list PIC'!C:E,2,0)</f>
        <v>Kartono</v>
      </c>
      <c r="J214" s="50" t="s">
        <v>766</v>
      </c>
      <c r="K214" s="50" t="s">
        <v>493</v>
      </c>
      <c r="L214" s="50" t="str">
        <f>VLOOKUP(K214,'[1]list PIC'!C:E,2,0)</f>
        <v>Danny Harly S</v>
      </c>
      <c r="M214" s="50" t="s">
        <v>752</v>
      </c>
      <c r="N214" s="50" t="s">
        <v>494</v>
      </c>
      <c r="O214" s="51" t="str">
        <f>VLOOKUP(N214,'[1]list PIC'!C:E,2,0)</f>
        <v>Ratna Adi Yuniar</v>
      </c>
      <c r="P214" s="51" t="str">
        <f>VLOOKUP(N214,'[1]list PIC'!C:E,3,0)</f>
        <v>ENG MGR</v>
      </c>
      <c r="Q214" s="50" t="s">
        <v>57</v>
      </c>
      <c r="R214" s="50" t="str">
        <f>VLOOKUP(Q214,'[1]list PIC'!C:E,2,0)</f>
        <v>Shinta Feriyanti</v>
      </c>
      <c r="S214" s="50" t="str">
        <f>VLOOKUP(Q214,'[1]list PIC'!C:E,3,0)</f>
        <v>QC CHECK WH SPV</v>
      </c>
      <c r="T214" s="56" t="s">
        <v>44</v>
      </c>
      <c r="U214" s="50" t="str">
        <f>VLOOKUP(T214,'[1]list PIC'!C:E,2,0)</f>
        <v>Toni Wijaya</v>
      </c>
      <c r="V214" s="50" t="str">
        <f>VLOOKUP(T214,'[1]list PIC'!C:E,3,0)</f>
        <v>QA SSPV</v>
      </c>
      <c r="W214" s="56" t="s">
        <v>45</v>
      </c>
      <c r="X214" s="51" t="str">
        <f>VLOOKUP(W214,'[1]list PIC'!C:E,2,0)</f>
        <v>Evis Methawan</v>
      </c>
      <c r="Y214" s="51" t="str">
        <f>VLOOKUP(W214,'[1]list PIC'!C:E,3,0)</f>
        <v>QA MGR</v>
      </c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ht="31" x14ac:dyDescent="0.35">
      <c r="A215" s="9">
        <v>213</v>
      </c>
      <c r="B215" s="106"/>
      <c r="C215" s="32" t="s">
        <v>579</v>
      </c>
      <c r="D215" s="4" t="s">
        <v>580</v>
      </c>
      <c r="E215" s="15" t="s">
        <v>29</v>
      </c>
      <c r="F215" s="6" t="s">
        <v>577</v>
      </c>
      <c r="G215" s="57" t="s">
        <v>578</v>
      </c>
      <c r="H215" s="7" t="s">
        <v>570</v>
      </c>
      <c r="I215" s="50" t="str">
        <f>VLOOKUP(H215,'[1]list PIC'!C:E,2,0)</f>
        <v>Kartono</v>
      </c>
      <c r="J215" s="50" t="s">
        <v>766</v>
      </c>
      <c r="K215" s="50" t="s">
        <v>493</v>
      </c>
      <c r="L215" s="50" t="str">
        <f>VLOOKUP(K215,'[1]list PIC'!C:E,2,0)</f>
        <v>Danny Harly S</v>
      </c>
      <c r="M215" s="50" t="s">
        <v>752</v>
      </c>
      <c r="N215" s="50" t="s">
        <v>494</v>
      </c>
      <c r="O215" s="51" t="str">
        <f>VLOOKUP(N215,'[1]list PIC'!C:E,2,0)</f>
        <v>Ratna Adi Yuniar</v>
      </c>
      <c r="P215" s="51" t="str">
        <f>VLOOKUP(N215,'[1]list PIC'!C:E,3,0)</f>
        <v>ENG MGR</v>
      </c>
      <c r="Q215" s="50" t="s">
        <v>57</v>
      </c>
      <c r="R215" s="50" t="str">
        <f>VLOOKUP(Q215,'[1]list PIC'!C:E,2,0)</f>
        <v>Shinta Feriyanti</v>
      </c>
      <c r="S215" s="50" t="str">
        <f>VLOOKUP(Q215,'[1]list PIC'!C:E,3,0)</f>
        <v>QC CHECK WH SPV</v>
      </c>
      <c r="T215" s="56" t="s">
        <v>44</v>
      </c>
      <c r="U215" s="50" t="str">
        <f>VLOOKUP(T215,'[1]list PIC'!C:E,2,0)</f>
        <v>Toni Wijaya</v>
      </c>
      <c r="V215" s="50" t="str">
        <f>VLOOKUP(T215,'[1]list PIC'!C:E,3,0)</f>
        <v>QA SSPV</v>
      </c>
      <c r="W215" s="56" t="s">
        <v>45</v>
      </c>
      <c r="X215" s="51" t="str">
        <f>VLOOKUP(W215,'[1]list PIC'!C:E,2,0)</f>
        <v>Evis Methawan</v>
      </c>
      <c r="Y215" s="51" t="str">
        <f>VLOOKUP(W215,'[1]list PIC'!C:E,3,0)</f>
        <v>QA MGR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ht="62" x14ac:dyDescent="0.35">
      <c r="A216" s="9">
        <v>214</v>
      </c>
      <c r="B216" s="106"/>
      <c r="C216" s="32" t="s">
        <v>581</v>
      </c>
      <c r="D216" s="4" t="s">
        <v>582</v>
      </c>
      <c r="E216" s="5" t="s">
        <v>29</v>
      </c>
      <c r="F216" s="6" t="s">
        <v>583</v>
      </c>
      <c r="G216" s="29" t="s">
        <v>584</v>
      </c>
      <c r="H216" s="11" t="s">
        <v>585</v>
      </c>
      <c r="I216" s="50" t="s">
        <v>767</v>
      </c>
      <c r="J216" s="11" t="s">
        <v>768</v>
      </c>
      <c r="K216" s="29" t="s">
        <v>493</v>
      </c>
      <c r="L216" s="50" t="str">
        <f>VLOOKUP(K216,'[1]list PIC'!C:E,2,0)</f>
        <v>Danny Harly S</v>
      </c>
      <c r="M216" s="50" t="s">
        <v>752</v>
      </c>
      <c r="N216" s="29" t="s">
        <v>494</v>
      </c>
      <c r="O216" s="51" t="str">
        <f>VLOOKUP(N216,'[1]list PIC'!C:E,2,0)</f>
        <v>Ratna Adi Yuniar</v>
      </c>
      <c r="P216" s="51" t="str">
        <f>VLOOKUP(N216,'[1]list PIC'!C:E,3,0)</f>
        <v>ENG MGR</v>
      </c>
      <c r="Q216" s="52"/>
      <c r="R216" s="52"/>
      <c r="S216" s="52"/>
      <c r="T216" s="52"/>
      <c r="U216" s="52"/>
      <c r="V216" s="52"/>
      <c r="W216" s="52"/>
      <c r="X216" s="52"/>
      <c r="Y216" s="52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ht="62" x14ac:dyDescent="0.35">
      <c r="A217" s="9">
        <v>215</v>
      </c>
      <c r="B217" s="106"/>
      <c r="C217" s="33" t="s">
        <v>586</v>
      </c>
      <c r="D217" s="6" t="s">
        <v>587</v>
      </c>
      <c r="E217" s="5" t="s">
        <v>29</v>
      </c>
      <c r="F217" s="6" t="s">
        <v>41</v>
      </c>
      <c r="G217" s="6" t="s">
        <v>42</v>
      </c>
      <c r="H217" s="11" t="s">
        <v>43</v>
      </c>
      <c r="I217" s="50" t="s">
        <v>692</v>
      </c>
      <c r="J217" s="11" t="s">
        <v>693</v>
      </c>
      <c r="K217" s="50" t="s">
        <v>44</v>
      </c>
      <c r="L217" s="50" t="str">
        <f>VLOOKUP(K217,'[1]list PIC'!C:E,2,0)</f>
        <v>Toni Wijaya</v>
      </c>
      <c r="M217" s="50" t="s">
        <v>694</v>
      </c>
      <c r="N217" s="50" t="s">
        <v>45</v>
      </c>
      <c r="O217" s="51" t="str">
        <f>VLOOKUP(N217,'[1]list PIC'!C:E,2,0)</f>
        <v>Evis Methawan</v>
      </c>
      <c r="P217" s="51" t="str">
        <f>VLOOKUP(N217,'[1]list PIC'!C:E,3,0)</f>
        <v>QA MGR</v>
      </c>
      <c r="Q217" s="52"/>
      <c r="R217" s="52"/>
      <c r="S217" s="52"/>
      <c r="T217" s="52"/>
      <c r="U217" s="52"/>
      <c r="V217" s="52"/>
      <c r="W217" s="52"/>
      <c r="X217" s="52"/>
      <c r="Y217" s="52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ht="62" x14ac:dyDescent="0.35">
      <c r="A218" s="9">
        <v>216</v>
      </c>
      <c r="B218" s="106"/>
      <c r="C218" s="33" t="s">
        <v>588</v>
      </c>
      <c r="D218" s="4" t="s">
        <v>589</v>
      </c>
      <c r="E218" s="5">
        <v>11</v>
      </c>
      <c r="F218" s="6" t="s">
        <v>41</v>
      </c>
      <c r="G218" s="6" t="s">
        <v>42</v>
      </c>
      <c r="H218" s="11" t="s">
        <v>43</v>
      </c>
      <c r="I218" s="50" t="s">
        <v>692</v>
      </c>
      <c r="J218" s="11" t="s">
        <v>693</v>
      </c>
      <c r="K218" s="50" t="s">
        <v>44</v>
      </c>
      <c r="L218" s="50" t="str">
        <f>VLOOKUP(K218,'[1]list PIC'!C:E,2,0)</f>
        <v>Toni Wijaya</v>
      </c>
      <c r="M218" s="50" t="s">
        <v>694</v>
      </c>
      <c r="N218" s="50" t="s">
        <v>45</v>
      </c>
      <c r="O218" s="51" t="str">
        <f>VLOOKUP(N218,'[1]list PIC'!C:E,2,0)</f>
        <v>Evis Methawan</v>
      </c>
      <c r="P218" s="51" t="str">
        <f>VLOOKUP(N218,'[1]list PIC'!C:E,3,0)</f>
        <v>QA MGR</v>
      </c>
      <c r="Q218" s="52"/>
      <c r="R218" s="52"/>
      <c r="S218" s="52"/>
      <c r="T218" s="52"/>
      <c r="U218" s="52"/>
      <c r="V218" s="52"/>
      <c r="W218" s="52"/>
      <c r="X218" s="52"/>
      <c r="Y218" s="52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ht="31" x14ac:dyDescent="0.35">
      <c r="A219" s="9">
        <v>217</v>
      </c>
      <c r="B219" s="106"/>
      <c r="C219" s="33" t="s">
        <v>590</v>
      </c>
      <c r="D219" s="6" t="s">
        <v>591</v>
      </c>
      <c r="E219" s="5" t="s">
        <v>29</v>
      </c>
      <c r="F219" s="6" t="s">
        <v>554</v>
      </c>
      <c r="G219" s="6" t="s">
        <v>592</v>
      </c>
      <c r="H219" s="7" t="s">
        <v>556</v>
      </c>
      <c r="I219" s="50" t="str">
        <f>VLOOKUP(H219,'[1]list PIC'!C:E,2,0)</f>
        <v>Aris Cahyono</v>
      </c>
      <c r="J219" s="50" t="s">
        <v>762</v>
      </c>
      <c r="K219" s="50" t="s">
        <v>351</v>
      </c>
      <c r="L219" s="50" t="str">
        <f>VLOOKUP(K219,'[1]list PIC'!C:E,2,0)</f>
        <v>Hayu Prasetyo U</v>
      </c>
      <c r="M219" s="50" t="str">
        <f>VLOOKUP(K219,'[1]list PIC'!C:E,3,0)</f>
        <v>PGA SSPV</v>
      </c>
      <c r="N219" s="50" t="s">
        <v>71</v>
      </c>
      <c r="O219" s="51" t="str">
        <f>VLOOKUP(N219,'[1]list PIC'!C:E,2,0)</f>
        <v>Cahyo Adi Nugroho</v>
      </c>
      <c r="P219" s="51" t="str">
        <f>VLOOKUP(N219,'[1]list PIC'!C:E,3,0)</f>
        <v>PGA SMGR</v>
      </c>
      <c r="Q219" s="52"/>
      <c r="R219" s="52"/>
      <c r="S219" s="52"/>
      <c r="T219" s="52"/>
      <c r="U219" s="52"/>
      <c r="V219" s="52"/>
      <c r="W219" s="52"/>
      <c r="X219" s="52"/>
      <c r="Y219" s="52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ht="31" x14ac:dyDescent="0.35">
      <c r="A220" s="9">
        <v>218</v>
      </c>
      <c r="B220" s="106"/>
      <c r="C220" s="33" t="s">
        <v>593</v>
      </c>
      <c r="D220" s="6" t="s">
        <v>594</v>
      </c>
      <c r="E220" s="5" t="s">
        <v>40</v>
      </c>
      <c r="F220" s="6" t="s">
        <v>554</v>
      </c>
      <c r="G220" s="6" t="s">
        <v>592</v>
      </c>
      <c r="H220" s="7" t="s">
        <v>556</v>
      </c>
      <c r="I220" s="50" t="str">
        <f>VLOOKUP(H220,'[1]list PIC'!C:E,2,0)</f>
        <v>Aris Cahyono</v>
      </c>
      <c r="J220" s="50" t="s">
        <v>762</v>
      </c>
      <c r="K220" s="50" t="s">
        <v>351</v>
      </c>
      <c r="L220" s="50" t="str">
        <f>VLOOKUP(K220,'[1]list PIC'!C:E,2,0)</f>
        <v>Hayu Prasetyo U</v>
      </c>
      <c r="M220" s="50" t="str">
        <f>VLOOKUP(K220,'[1]list PIC'!C:E,3,0)</f>
        <v>PGA SSPV</v>
      </c>
      <c r="N220" s="50" t="s">
        <v>71</v>
      </c>
      <c r="O220" s="51" t="str">
        <f>VLOOKUP(N220,'[1]list PIC'!C:E,2,0)</f>
        <v>Cahyo Adi Nugroho</v>
      </c>
      <c r="P220" s="51" t="str">
        <f>VLOOKUP(N220,'[1]list PIC'!C:E,3,0)</f>
        <v>PGA SMGR</v>
      </c>
      <c r="Q220" s="52"/>
      <c r="R220" s="52"/>
      <c r="S220" s="52"/>
      <c r="T220" s="52"/>
      <c r="U220" s="52"/>
      <c r="V220" s="52"/>
      <c r="W220" s="52"/>
      <c r="X220" s="52"/>
      <c r="Y220" s="52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ht="31" x14ac:dyDescent="0.35">
      <c r="A221" s="9">
        <v>219</v>
      </c>
      <c r="B221" s="106"/>
      <c r="C221" s="33" t="s">
        <v>595</v>
      </c>
      <c r="D221" s="4" t="s">
        <v>596</v>
      </c>
      <c r="E221" s="5" t="s">
        <v>29</v>
      </c>
      <c r="F221" s="6" t="s">
        <v>554</v>
      </c>
      <c r="G221" s="6" t="s">
        <v>592</v>
      </c>
      <c r="H221" s="7" t="s">
        <v>556</v>
      </c>
      <c r="I221" s="50" t="str">
        <f>VLOOKUP(H221,'[1]list PIC'!C:E,2,0)</f>
        <v>Aris Cahyono</v>
      </c>
      <c r="J221" s="50" t="s">
        <v>762</v>
      </c>
      <c r="K221" s="50" t="s">
        <v>351</v>
      </c>
      <c r="L221" s="50" t="str">
        <f>VLOOKUP(K221,'[1]list PIC'!C:E,2,0)</f>
        <v>Hayu Prasetyo U</v>
      </c>
      <c r="M221" s="50" t="str">
        <f>VLOOKUP(K221,'[1]list PIC'!C:E,3,0)</f>
        <v>PGA SSPV</v>
      </c>
      <c r="N221" s="50" t="s">
        <v>71</v>
      </c>
      <c r="O221" s="51" t="str">
        <f>VLOOKUP(N221,'[1]list PIC'!C:E,2,0)</f>
        <v>Cahyo Adi Nugroho</v>
      </c>
      <c r="P221" s="51" t="str">
        <f>VLOOKUP(N221,'[1]list PIC'!C:E,3,0)</f>
        <v>PGA SMGR</v>
      </c>
      <c r="Q221" s="52"/>
      <c r="R221" s="52"/>
      <c r="S221" s="52"/>
      <c r="T221" s="52"/>
      <c r="U221" s="52"/>
      <c r="V221" s="52"/>
      <c r="W221" s="52"/>
      <c r="X221" s="52"/>
      <c r="Y221" s="52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ht="31" x14ac:dyDescent="0.35">
      <c r="A222" s="9">
        <v>220</v>
      </c>
      <c r="B222" s="106"/>
      <c r="C222" s="33" t="s">
        <v>597</v>
      </c>
      <c r="D222" s="4" t="s">
        <v>598</v>
      </c>
      <c r="E222" s="5" t="s">
        <v>29</v>
      </c>
      <c r="F222" s="6" t="s">
        <v>554</v>
      </c>
      <c r="G222" s="6" t="s">
        <v>599</v>
      </c>
      <c r="H222" s="7" t="s">
        <v>70</v>
      </c>
      <c r="I222" s="50" t="str">
        <f>VLOOKUP(H222,'[1]list PIC'!C:E,2,0)</f>
        <v>Agung Indrayana</v>
      </c>
      <c r="J222" s="50" t="s">
        <v>763</v>
      </c>
      <c r="K222" s="7" t="s">
        <v>71</v>
      </c>
      <c r="L222" s="50" t="str">
        <f>VLOOKUP(K222,'[1]list PIC'!C:E,2,0)</f>
        <v>Cahyo Adi Nugroho</v>
      </c>
      <c r="M222" s="50" t="str">
        <f>VLOOKUP(K222,'[1]list PIC'!C:E,3,0)</f>
        <v>PGA SMGR</v>
      </c>
      <c r="N222" s="7" t="s">
        <v>71</v>
      </c>
      <c r="O222" s="50" t="str">
        <f>VLOOKUP(N222,'[1]list PIC'!C:E,2,0)</f>
        <v>Cahyo Adi Nugroho</v>
      </c>
      <c r="P222" s="50" t="str">
        <f>VLOOKUP(N222,'[1]list PIC'!C:E,3,0)</f>
        <v>PGA SMGR</v>
      </c>
      <c r="Q222" s="52"/>
      <c r="R222" s="52"/>
      <c r="S222" s="52"/>
      <c r="T222" s="52"/>
      <c r="U222" s="52"/>
      <c r="V222" s="52"/>
      <c r="W222" s="52"/>
      <c r="X222" s="52"/>
      <c r="Y222" s="52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ht="31" x14ac:dyDescent="0.35">
      <c r="A223" s="9">
        <v>221</v>
      </c>
      <c r="B223" s="106"/>
      <c r="C223" s="33" t="s">
        <v>600</v>
      </c>
      <c r="D223" s="4" t="s">
        <v>601</v>
      </c>
      <c r="E223" s="5" t="s">
        <v>29</v>
      </c>
      <c r="F223" s="6" t="s">
        <v>554</v>
      </c>
      <c r="G223" s="6" t="s">
        <v>602</v>
      </c>
      <c r="H223" s="7" t="s">
        <v>351</v>
      </c>
      <c r="I223" s="50" t="str">
        <f>VLOOKUP(H223,'[1]list PIC'!C:E,2,0)</f>
        <v>Hayu Prasetyo U</v>
      </c>
      <c r="J223" s="50" t="s">
        <v>763</v>
      </c>
      <c r="K223" s="50" t="s">
        <v>71</v>
      </c>
      <c r="L223" s="50" t="str">
        <f>VLOOKUP(K223,'[1]list PIC'!C:E,2,0)</f>
        <v>Cahyo Adi Nugroho</v>
      </c>
      <c r="M223" s="50" t="str">
        <f>VLOOKUP(K223,'[1]list PIC'!C:E,3,0)</f>
        <v>PGA SMGR</v>
      </c>
      <c r="N223" s="50" t="s">
        <v>71</v>
      </c>
      <c r="O223" s="50" t="str">
        <f>VLOOKUP(N223,'[1]list PIC'!C:E,2,0)</f>
        <v>Cahyo Adi Nugroho</v>
      </c>
      <c r="P223" s="50" t="str">
        <f>VLOOKUP(N223,'[1]list PIC'!C:E,3,0)</f>
        <v>PGA SMGR</v>
      </c>
      <c r="Q223" s="52"/>
      <c r="R223" s="52"/>
      <c r="S223" s="52"/>
      <c r="T223" s="52"/>
      <c r="U223" s="52"/>
      <c r="V223" s="52"/>
      <c r="W223" s="52"/>
      <c r="X223" s="52"/>
      <c r="Y223" s="52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ht="31" x14ac:dyDescent="0.35">
      <c r="A224" s="9">
        <v>222</v>
      </c>
      <c r="B224" s="106"/>
      <c r="C224" s="32" t="s">
        <v>603</v>
      </c>
      <c r="D224" s="4" t="s">
        <v>604</v>
      </c>
      <c r="E224" s="5" t="s">
        <v>29</v>
      </c>
      <c r="F224" s="6" t="s">
        <v>554</v>
      </c>
      <c r="G224" s="6" t="s">
        <v>602</v>
      </c>
      <c r="H224" s="7" t="s">
        <v>351</v>
      </c>
      <c r="I224" s="50" t="str">
        <f>VLOOKUP(H224,'[1]list PIC'!C:E,2,0)</f>
        <v>Hayu Prasetyo U</v>
      </c>
      <c r="J224" s="50" t="s">
        <v>763</v>
      </c>
      <c r="K224" s="50" t="s">
        <v>71</v>
      </c>
      <c r="L224" s="50" t="str">
        <f>VLOOKUP(K224,'[1]list PIC'!C:E,2,0)</f>
        <v>Cahyo Adi Nugroho</v>
      </c>
      <c r="M224" s="50" t="str">
        <f>VLOOKUP(K224,'[1]list PIC'!C:E,3,0)</f>
        <v>PGA SMGR</v>
      </c>
      <c r="N224" s="50" t="s">
        <v>71</v>
      </c>
      <c r="O224" s="50" t="str">
        <f>VLOOKUP(N224,'[1]list PIC'!C:E,2,0)</f>
        <v>Cahyo Adi Nugroho</v>
      </c>
      <c r="P224" s="50" t="str">
        <f>VLOOKUP(N224,'[1]list PIC'!C:E,3,0)</f>
        <v>PGA SMGR</v>
      </c>
      <c r="Q224" s="52"/>
      <c r="R224" s="52"/>
      <c r="S224" s="52"/>
      <c r="T224" s="52"/>
      <c r="U224" s="52"/>
      <c r="V224" s="52"/>
      <c r="W224" s="52"/>
      <c r="X224" s="52"/>
      <c r="Y224" s="52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ht="31" x14ac:dyDescent="0.35">
      <c r="A225" s="9">
        <v>223</v>
      </c>
      <c r="B225" s="106"/>
      <c r="C225" s="32" t="s">
        <v>605</v>
      </c>
      <c r="D225" s="4" t="s">
        <v>606</v>
      </c>
      <c r="E225" s="5">
        <v>0</v>
      </c>
      <c r="F225" s="6" t="s">
        <v>554</v>
      </c>
      <c r="G225" s="6" t="s">
        <v>592</v>
      </c>
      <c r="H225" s="7" t="s">
        <v>556</v>
      </c>
      <c r="I225" s="50" t="str">
        <f>VLOOKUP(H225,'[1]list PIC'!C:E,2,0)</f>
        <v>Aris Cahyono</v>
      </c>
      <c r="J225" s="50" t="s">
        <v>762</v>
      </c>
      <c r="K225" s="50" t="s">
        <v>351</v>
      </c>
      <c r="L225" s="50" t="str">
        <f>VLOOKUP(K225,'[1]list PIC'!C:E,2,0)</f>
        <v>Hayu Prasetyo U</v>
      </c>
      <c r="M225" s="50" t="str">
        <f>VLOOKUP(K225,'[1]list PIC'!C:E,3,0)</f>
        <v>PGA SSPV</v>
      </c>
      <c r="N225" s="50" t="s">
        <v>71</v>
      </c>
      <c r="O225" s="51" t="str">
        <f>VLOOKUP(N225,'[1]list PIC'!C:E,2,0)</f>
        <v>Cahyo Adi Nugroho</v>
      </c>
      <c r="P225" s="51" t="str">
        <f>VLOOKUP(N225,'[1]list PIC'!C:E,3,0)</f>
        <v>PGA SMGR</v>
      </c>
      <c r="Q225" s="52"/>
      <c r="R225" s="52"/>
      <c r="S225" s="52"/>
      <c r="T225" s="52"/>
      <c r="U225" s="52"/>
      <c r="V225" s="52"/>
      <c r="W225" s="52"/>
      <c r="X225" s="52"/>
      <c r="Y225" s="52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ht="31" x14ac:dyDescent="0.35">
      <c r="A226" s="9">
        <v>224</v>
      </c>
      <c r="B226" s="107"/>
      <c r="C226" s="33" t="s">
        <v>607</v>
      </c>
      <c r="D226" s="4" t="s">
        <v>608</v>
      </c>
      <c r="E226" s="5" t="s">
        <v>20</v>
      </c>
      <c r="F226" s="6" t="s">
        <v>554</v>
      </c>
      <c r="G226" s="6" t="s">
        <v>602</v>
      </c>
      <c r="H226" s="7" t="s">
        <v>351</v>
      </c>
      <c r="I226" s="50" t="str">
        <f>VLOOKUP(H226,'[1]list PIC'!C:E,2,0)</f>
        <v>Hayu Prasetyo U</v>
      </c>
      <c r="J226" s="50" t="s">
        <v>763</v>
      </c>
      <c r="K226" s="50" t="s">
        <v>71</v>
      </c>
      <c r="L226" s="50" t="str">
        <f>VLOOKUP(K226,'[1]list PIC'!C:E,2,0)</f>
        <v>Cahyo Adi Nugroho</v>
      </c>
      <c r="M226" s="50" t="str">
        <f>VLOOKUP(K226,'[1]list PIC'!C:E,3,0)</f>
        <v>PGA SMGR</v>
      </c>
      <c r="N226" s="50" t="s">
        <v>71</v>
      </c>
      <c r="O226" s="50" t="str">
        <f>VLOOKUP(N226,'[1]list PIC'!C:E,2,0)</f>
        <v>Cahyo Adi Nugroho</v>
      </c>
      <c r="P226" s="50" t="str">
        <f>VLOOKUP(N226,'[1]list PIC'!C:E,3,0)</f>
        <v>PGA SMGR</v>
      </c>
      <c r="Q226" s="52"/>
      <c r="R226" s="52"/>
      <c r="S226" s="52"/>
      <c r="T226" s="52"/>
      <c r="U226" s="52"/>
      <c r="V226" s="52"/>
      <c r="W226" s="52"/>
      <c r="X226" s="52"/>
      <c r="Y226" s="52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ht="46.5" x14ac:dyDescent="0.35">
      <c r="A227" s="9">
        <v>225</v>
      </c>
      <c r="B227" s="53" t="s">
        <v>769</v>
      </c>
      <c r="C227" s="33" t="s">
        <v>609</v>
      </c>
      <c r="D227" s="4" t="s">
        <v>610</v>
      </c>
      <c r="E227" s="5">
        <v>12</v>
      </c>
      <c r="F227" s="6" t="s">
        <v>611</v>
      </c>
      <c r="G227" s="57" t="s">
        <v>612</v>
      </c>
      <c r="H227" s="29" t="s">
        <v>585</v>
      </c>
      <c r="I227" s="50" t="s">
        <v>770</v>
      </c>
      <c r="J227" s="11" t="s">
        <v>768</v>
      </c>
      <c r="K227" s="29" t="s">
        <v>493</v>
      </c>
      <c r="L227" s="50" t="str">
        <f>VLOOKUP(K227,'[1]list PIC'!C:E,2,0)</f>
        <v>Danny Harly S</v>
      </c>
      <c r="M227" s="50" t="s">
        <v>752</v>
      </c>
      <c r="N227" s="29" t="s">
        <v>494</v>
      </c>
      <c r="O227" s="51" t="str">
        <f>VLOOKUP(N227,'[1]list PIC'!C:E,2,0)</f>
        <v>Ratna Adi Yuniar</v>
      </c>
      <c r="P227" s="51" t="str">
        <f>VLOOKUP(N227,'[1]list PIC'!C:E,3,0)</f>
        <v>ENG MGR</v>
      </c>
      <c r="Q227" s="50" t="s">
        <v>561</v>
      </c>
      <c r="R227" s="50" t="str">
        <f>VLOOKUP(Q227,'[1]list PIC'!C:E,2,0)</f>
        <v>M Chasan Basri</v>
      </c>
      <c r="S227" s="50" t="str">
        <f>VLOOKUP(Q227,'[1]list PIC'!C:E,3,0)</f>
        <v>MTC SSPV</v>
      </c>
      <c r="T227" s="50" t="s">
        <v>90</v>
      </c>
      <c r="U227" s="50" t="str">
        <f>VLOOKUP(T227,'[1]list PIC'!C:E,2,0)</f>
        <v>Kholiq Imam W</v>
      </c>
      <c r="V227" s="50" t="str">
        <f>VLOOKUP(T227,'[1]list PIC'!C:E,3,0)</f>
        <v>MTC MGR</v>
      </c>
      <c r="W227" s="50" t="s">
        <v>90</v>
      </c>
      <c r="X227" s="51" t="str">
        <f>VLOOKUP(W227,'[1]list PIC'!C:E,2,0)</f>
        <v>Kholiq Imam W</v>
      </c>
      <c r="Y227" s="51" t="str">
        <f>VLOOKUP(W227,'[1]list PIC'!C:E,3,0)</f>
        <v>MTC MGR</v>
      </c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ht="46.5" x14ac:dyDescent="0.35">
      <c r="A228" s="9">
        <v>226</v>
      </c>
      <c r="B228" s="105" t="s">
        <v>771</v>
      </c>
      <c r="C228" s="32" t="s">
        <v>613</v>
      </c>
      <c r="D228" s="4" t="s">
        <v>614</v>
      </c>
      <c r="E228" s="5" t="s">
        <v>40</v>
      </c>
      <c r="F228" s="6" t="s">
        <v>583</v>
      </c>
      <c r="G228" s="29" t="s">
        <v>615</v>
      </c>
      <c r="H228" s="11" t="s">
        <v>616</v>
      </c>
      <c r="I228" s="50" t="s">
        <v>772</v>
      </c>
      <c r="J228" s="11" t="s">
        <v>768</v>
      </c>
      <c r="K228" s="50" t="s">
        <v>493</v>
      </c>
      <c r="L228" s="50" t="str">
        <f>VLOOKUP(K228,'[1]list PIC'!C:E,2,0)</f>
        <v>Danny Harly S</v>
      </c>
      <c r="M228" s="50" t="s">
        <v>752</v>
      </c>
      <c r="N228" s="50" t="s">
        <v>494</v>
      </c>
      <c r="O228" s="51" t="str">
        <f>VLOOKUP(N228,'[1]list PIC'!C:E,2,0)</f>
        <v>Ratna Adi Yuniar</v>
      </c>
      <c r="P228" s="51" t="str">
        <f>VLOOKUP(N228,'[1]list PIC'!C:E,3,0)</f>
        <v>ENG MGR</v>
      </c>
      <c r="Q228" s="52"/>
      <c r="R228" s="52"/>
      <c r="S228" s="52"/>
      <c r="T228" s="52"/>
      <c r="U228" s="52"/>
      <c r="V228" s="52"/>
      <c r="W228" s="52"/>
      <c r="X228" s="52"/>
      <c r="Y228" s="52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ht="31" x14ac:dyDescent="0.35">
      <c r="A229" s="9">
        <v>227</v>
      </c>
      <c r="B229" s="106"/>
      <c r="C229" s="32" t="s">
        <v>617</v>
      </c>
      <c r="D229" s="6" t="s">
        <v>618</v>
      </c>
      <c r="E229" s="5" t="s">
        <v>23</v>
      </c>
      <c r="F229" s="6" t="s">
        <v>619</v>
      </c>
      <c r="G229" s="6" t="s">
        <v>560</v>
      </c>
      <c r="H229" s="7" t="s">
        <v>620</v>
      </c>
      <c r="I229" s="50" t="str">
        <f>VLOOKUP(H229,'[1]list PIC'!C:E,2,0)</f>
        <v>Rizal Firmansyah</v>
      </c>
      <c r="J229" s="50" t="s">
        <v>773</v>
      </c>
      <c r="K229" s="7" t="s">
        <v>561</v>
      </c>
      <c r="L229" s="50" t="str">
        <f>VLOOKUP(K229,'[1]list PIC'!C:E,2,0)</f>
        <v>M Chasan Basri</v>
      </c>
      <c r="M229" s="50" t="str">
        <f>VLOOKUP(K229,'[1]list PIC'!C:E,3,0)</f>
        <v>MTC SSPV</v>
      </c>
      <c r="N229" s="50" t="s">
        <v>90</v>
      </c>
      <c r="O229" s="51" t="str">
        <f>VLOOKUP(N229,'[1]list PIC'!C:E,2,0)</f>
        <v>Kholiq Imam W</v>
      </c>
      <c r="P229" s="51" t="str">
        <f>VLOOKUP(N229,'[1]list PIC'!C:E,3,0)</f>
        <v>MTC MGR</v>
      </c>
      <c r="Q229" s="52"/>
      <c r="R229" s="52"/>
      <c r="S229" s="52"/>
      <c r="T229" s="52"/>
      <c r="U229" s="52"/>
      <c r="V229" s="52"/>
      <c r="W229" s="52"/>
      <c r="X229" s="52"/>
      <c r="Y229" s="52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ht="15.5" x14ac:dyDescent="0.35">
      <c r="A230" s="9">
        <v>228</v>
      </c>
      <c r="B230" s="106"/>
      <c r="C230" s="32" t="s">
        <v>621</v>
      </c>
      <c r="D230" s="6" t="s">
        <v>622</v>
      </c>
      <c r="E230" s="5" t="s">
        <v>76</v>
      </c>
      <c r="F230" s="6" t="s">
        <v>619</v>
      </c>
      <c r="G230" s="6" t="s">
        <v>560</v>
      </c>
      <c r="H230" s="7" t="s">
        <v>623</v>
      </c>
      <c r="I230" s="50" t="str">
        <f>VLOOKUP(H230,'[1]list PIC'!C:E,2,0)</f>
        <v>Ghaitsul Amthari</v>
      </c>
      <c r="J230" s="50" t="s">
        <v>773</v>
      </c>
      <c r="K230" s="7" t="s">
        <v>561</v>
      </c>
      <c r="L230" s="50" t="str">
        <f>VLOOKUP(K230,'[1]list PIC'!C:E,2,0)</f>
        <v>M Chasan Basri</v>
      </c>
      <c r="M230" s="50" t="str">
        <f>VLOOKUP(K230,'[1]list PIC'!C:E,3,0)</f>
        <v>MTC SSPV</v>
      </c>
      <c r="N230" s="50" t="s">
        <v>90</v>
      </c>
      <c r="O230" s="51" t="str">
        <f>VLOOKUP(N230,'[1]list PIC'!C:E,2,0)</f>
        <v>Kholiq Imam W</v>
      </c>
      <c r="P230" s="51" t="str">
        <f>VLOOKUP(N230,'[1]list PIC'!C:E,3,0)</f>
        <v>MTC MGR</v>
      </c>
      <c r="Q230" s="52"/>
      <c r="R230" s="52"/>
      <c r="S230" s="52"/>
      <c r="T230" s="52"/>
      <c r="U230" s="52"/>
      <c r="V230" s="52"/>
      <c r="W230" s="52"/>
      <c r="X230" s="52"/>
      <c r="Y230" s="52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ht="31" x14ac:dyDescent="0.35">
      <c r="A231" s="9">
        <v>229</v>
      </c>
      <c r="B231" s="106"/>
      <c r="C231" s="32" t="s">
        <v>624</v>
      </c>
      <c r="D231" s="6" t="s">
        <v>625</v>
      </c>
      <c r="E231" s="5" t="s">
        <v>52</v>
      </c>
      <c r="F231" s="6" t="s">
        <v>619</v>
      </c>
      <c r="G231" s="6" t="s">
        <v>560</v>
      </c>
      <c r="H231" s="7" t="s">
        <v>626</v>
      </c>
      <c r="I231" s="50" t="str">
        <f>VLOOKUP(H231,'[1]list PIC'!C:E,2,0)</f>
        <v>Witdyastuti Suroto</v>
      </c>
      <c r="J231" s="50" t="s">
        <v>773</v>
      </c>
      <c r="K231" s="7" t="s">
        <v>561</v>
      </c>
      <c r="L231" s="50" t="str">
        <f>VLOOKUP(K231,'[1]list PIC'!C:E,2,0)</f>
        <v>M Chasan Basri</v>
      </c>
      <c r="M231" s="50" t="str">
        <f>VLOOKUP(K231,'[1]list PIC'!C:E,3,0)</f>
        <v>MTC SSPV</v>
      </c>
      <c r="N231" s="50" t="s">
        <v>90</v>
      </c>
      <c r="O231" s="51" t="str">
        <f>VLOOKUP(N231,'[1]list PIC'!C:E,2,0)</f>
        <v>Kholiq Imam W</v>
      </c>
      <c r="P231" s="51" t="str">
        <f>VLOOKUP(N231,'[1]list PIC'!C:E,3,0)</f>
        <v>MTC MGR</v>
      </c>
      <c r="Q231" s="52"/>
      <c r="R231" s="52"/>
      <c r="S231" s="52"/>
      <c r="T231" s="52"/>
      <c r="U231" s="52"/>
      <c r="V231" s="52"/>
      <c r="W231" s="52"/>
      <c r="X231" s="52"/>
      <c r="Y231" s="52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ht="31" x14ac:dyDescent="0.35">
      <c r="A232" s="9">
        <v>230</v>
      </c>
      <c r="B232" s="106"/>
      <c r="C232" s="33" t="s">
        <v>627</v>
      </c>
      <c r="D232" s="4" t="s">
        <v>628</v>
      </c>
      <c r="E232" s="5" t="s">
        <v>23</v>
      </c>
      <c r="F232" s="6" t="s">
        <v>619</v>
      </c>
      <c r="G232" s="6" t="s">
        <v>560</v>
      </c>
      <c r="H232" s="7" t="s">
        <v>620</v>
      </c>
      <c r="I232" s="50" t="str">
        <f>VLOOKUP(H232,'[1]list PIC'!C:E,2,0)</f>
        <v>Rizal Firmansyah</v>
      </c>
      <c r="J232" s="50" t="s">
        <v>773</v>
      </c>
      <c r="K232" s="7" t="s">
        <v>561</v>
      </c>
      <c r="L232" s="50" t="str">
        <f>VLOOKUP(K232,'[1]list PIC'!C:E,2,0)</f>
        <v>M Chasan Basri</v>
      </c>
      <c r="M232" s="50" t="str">
        <f>VLOOKUP(K232,'[1]list PIC'!C:E,3,0)</f>
        <v>MTC SSPV</v>
      </c>
      <c r="N232" s="50" t="s">
        <v>90</v>
      </c>
      <c r="O232" s="51" t="str">
        <f>VLOOKUP(N232,'[1]list PIC'!C:E,2,0)</f>
        <v>Kholiq Imam W</v>
      </c>
      <c r="P232" s="51" t="str">
        <f>VLOOKUP(N232,'[1]list PIC'!C:E,3,0)</f>
        <v>MTC MGR</v>
      </c>
      <c r="Q232" s="52"/>
      <c r="R232" s="52"/>
      <c r="S232" s="52"/>
      <c r="T232" s="52"/>
      <c r="U232" s="52"/>
      <c r="V232" s="52"/>
      <c r="W232" s="52"/>
      <c r="X232" s="52"/>
      <c r="Y232" s="52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ht="31" x14ac:dyDescent="0.35">
      <c r="A233" s="9">
        <v>231</v>
      </c>
      <c r="B233" s="106"/>
      <c r="C233" s="32" t="s">
        <v>629</v>
      </c>
      <c r="D233" s="6" t="s">
        <v>630</v>
      </c>
      <c r="E233" s="5" t="s">
        <v>37</v>
      </c>
      <c r="F233" s="6" t="s">
        <v>619</v>
      </c>
      <c r="G233" s="6" t="s">
        <v>560</v>
      </c>
      <c r="H233" s="7" t="s">
        <v>620</v>
      </c>
      <c r="I233" s="50" t="str">
        <f>VLOOKUP(H233,'[1]list PIC'!C:E,2,0)</f>
        <v>Rizal Firmansyah</v>
      </c>
      <c r="J233" s="50" t="s">
        <v>773</v>
      </c>
      <c r="K233" s="7" t="s">
        <v>561</v>
      </c>
      <c r="L233" s="50" t="str">
        <f>VLOOKUP(K233,'[1]list PIC'!C:E,2,0)</f>
        <v>M Chasan Basri</v>
      </c>
      <c r="M233" s="50" t="str">
        <f>VLOOKUP(K233,'[1]list PIC'!C:E,3,0)</f>
        <v>MTC SSPV</v>
      </c>
      <c r="N233" s="50" t="s">
        <v>90</v>
      </c>
      <c r="O233" s="51" t="str">
        <f>VLOOKUP(N233,'[1]list PIC'!C:E,2,0)</f>
        <v>Kholiq Imam W</v>
      </c>
      <c r="P233" s="51" t="str">
        <f>VLOOKUP(N233,'[1]list PIC'!C:E,3,0)</f>
        <v>MTC MGR</v>
      </c>
      <c r="Q233" s="52"/>
      <c r="R233" s="52"/>
      <c r="S233" s="52"/>
      <c r="T233" s="52"/>
      <c r="U233" s="52"/>
      <c r="V233" s="52"/>
      <c r="W233" s="52"/>
      <c r="X233" s="52"/>
      <c r="Y233" s="52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ht="31" x14ac:dyDescent="0.35">
      <c r="A234" s="9">
        <v>232</v>
      </c>
      <c r="B234" s="106"/>
      <c r="C234" s="32" t="s">
        <v>631</v>
      </c>
      <c r="D234" s="6" t="s">
        <v>632</v>
      </c>
      <c r="E234" s="5" t="s">
        <v>20</v>
      </c>
      <c r="F234" s="6" t="s">
        <v>619</v>
      </c>
      <c r="G234" s="6" t="s">
        <v>560</v>
      </c>
      <c r="H234" s="7" t="s">
        <v>620</v>
      </c>
      <c r="I234" s="50" t="str">
        <f>VLOOKUP(H234,'[1]list PIC'!C:E,2,0)</f>
        <v>Rizal Firmansyah</v>
      </c>
      <c r="J234" s="50" t="s">
        <v>773</v>
      </c>
      <c r="K234" s="7" t="s">
        <v>561</v>
      </c>
      <c r="L234" s="50" t="str">
        <f>VLOOKUP(K234,'[1]list PIC'!C:E,2,0)</f>
        <v>M Chasan Basri</v>
      </c>
      <c r="M234" s="50" t="str">
        <f>VLOOKUP(K234,'[1]list PIC'!C:E,3,0)</f>
        <v>MTC SSPV</v>
      </c>
      <c r="N234" s="50" t="s">
        <v>90</v>
      </c>
      <c r="O234" s="51" t="str">
        <f>VLOOKUP(N234,'[1]list PIC'!C:E,2,0)</f>
        <v>Kholiq Imam W</v>
      </c>
      <c r="P234" s="51" t="str">
        <f>VLOOKUP(N234,'[1]list PIC'!C:E,3,0)</f>
        <v>MTC MGR</v>
      </c>
      <c r="Q234" s="52"/>
      <c r="R234" s="52"/>
      <c r="S234" s="52"/>
      <c r="T234" s="52"/>
      <c r="U234" s="52"/>
      <c r="V234" s="52"/>
      <c r="W234" s="52"/>
      <c r="X234" s="52"/>
      <c r="Y234" s="52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ht="31" x14ac:dyDescent="0.35">
      <c r="A235" s="9">
        <v>233</v>
      </c>
      <c r="B235" s="106"/>
      <c r="C235" s="32" t="s">
        <v>633</v>
      </c>
      <c r="D235" s="4" t="s">
        <v>634</v>
      </c>
      <c r="E235" s="5" t="s">
        <v>29</v>
      </c>
      <c r="F235" s="6" t="s">
        <v>583</v>
      </c>
      <c r="G235" s="6" t="s">
        <v>635</v>
      </c>
      <c r="H235" s="30" t="s">
        <v>636</v>
      </c>
      <c r="I235" s="50" t="str">
        <f>VLOOKUP(H235,'[1]list PIC'!C:E,2,0)</f>
        <v>Yachrul Herwantoro</v>
      </c>
      <c r="J235" s="50" t="s">
        <v>766</v>
      </c>
      <c r="K235" s="56" t="s">
        <v>493</v>
      </c>
      <c r="L235" s="50" t="str">
        <f>VLOOKUP(K235,'[1]list PIC'!C:E,2,0)</f>
        <v>Danny Harly S</v>
      </c>
      <c r="M235" s="50" t="s">
        <v>752</v>
      </c>
      <c r="N235" s="56" t="s">
        <v>494</v>
      </c>
      <c r="O235" s="51" t="str">
        <f>VLOOKUP(N235,'[1]list PIC'!C:E,2,0)</f>
        <v>Ratna Adi Yuniar</v>
      </c>
      <c r="P235" s="51" t="str">
        <f>VLOOKUP(N235,'[1]list PIC'!C:E,3,0)</f>
        <v>ENG MGR</v>
      </c>
      <c r="Q235" s="52"/>
      <c r="R235" s="52"/>
      <c r="S235" s="52"/>
      <c r="T235" s="52"/>
      <c r="U235" s="52"/>
      <c r="V235" s="52"/>
      <c r="W235" s="52"/>
      <c r="X235" s="52"/>
      <c r="Y235" s="52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ht="62" x14ac:dyDescent="0.35">
      <c r="A236" s="9">
        <v>234</v>
      </c>
      <c r="B236" s="106"/>
      <c r="C236" s="33" t="s">
        <v>637</v>
      </c>
      <c r="D236" s="4" t="s">
        <v>638</v>
      </c>
      <c r="E236" s="5" t="s">
        <v>20</v>
      </c>
      <c r="F236" s="6" t="s">
        <v>41</v>
      </c>
      <c r="G236" s="6" t="s">
        <v>42</v>
      </c>
      <c r="H236" s="11" t="s">
        <v>43</v>
      </c>
      <c r="I236" s="50" t="s">
        <v>692</v>
      </c>
      <c r="J236" s="11" t="s">
        <v>693</v>
      </c>
      <c r="K236" s="50" t="s">
        <v>44</v>
      </c>
      <c r="L236" s="50" t="str">
        <f>VLOOKUP(K236,'[1]list PIC'!C:E,2,0)</f>
        <v>Toni Wijaya</v>
      </c>
      <c r="M236" s="50" t="s">
        <v>694</v>
      </c>
      <c r="N236" s="50" t="s">
        <v>45</v>
      </c>
      <c r="O236" s="51" t="str">
        <f>VLOOKUP(N236,'[1]list PIC'!C:E,2,0)</f>
        <v>Evis Methawan</v>
      </c>
      <c r="P236" s="51" t="str">
        <f>VLOOKUP(N236,'[1]list PIC'!C:E,3,0)</f>
        <v>QA MGR</v>
      </c>
      <c r="Q236" s="52"/>
      <c r="R236" s="52"/>
      <c r="S236" s="52"/>
      <c r="T236" s="52"/>
      <c r="U236" s="52"/>
      <c r="V236" s="52"/>
      <c r="W236" s="52"/>
      <c r="X236" s="52"/>
      <c r="Y236" s="52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ht="62" x14ac:dyDescent="0.35">
      <c r="A237" s="9">
        <v>235</v>
      </c>
      <c r="B237" s="106"/>
      <c r="C237" s="33" t="s">
        <v>639</v>
      </c>
      <c r="D237" s="4" t="s">
        <v>640</v>
      </c>
      <c r="E237" s="5" t="s">
        <v>76</v>
      </c>
      <c r="F237" s="6" t="s">
        <v>41</v>
      </c>
      <c r="G237" s="6" t="s">
        <v>42</v>
      </c>
      <c r="H237" s="11" t="s">
        <v>43</v>
      </c>
      <c r="I237" s="50" t="s">
        <v>692</v>
      </c>
      <c r="J237" s="11" t="s">
        <v>693</v>
      </c>
      <c r="K237" s="50" t="s">
        <v>44</v>
      </c>
      <c r="L237" s="50" t="str">
        <f>VLOOKUP(K237,'[1]list PIC'!C:E,2,0)</f>
        <v>Toni Wijaya</v>
      </c>
      <c r="M237" s="50" t="s">
        <v>694</v>
      </c>
      <c r="N237" s="50" t="s">
        <v>45</v>
      </c>
      <c r="O237" s="51" t="str">
        <f>VLOOKUP(N237,'[1]list PIC'!C:E,2,0)</f>
        <v>Evis Methawan</v>
      </c>
      <c r="P237" s="51" t="str">
        <f>VLOOKUP(N237,'[1]list PIC'!C:E,3,0)</f>
        <v>QA MGR</v>
      </c>
      <c r="Q237" s="52"/>
      <c r="R237" s="52"/>
      <c r="S237" s="52"/>
      <c r="T237" s="52"/>
      <c r="U237" s="52"/>
      <c r="V237" s="52"/>
      <c r="W237" s="52"/>
      <c r="X237" s="52"/>
      <c r="Y237" s="52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ht="62" x14ac:dyDescent="0.35">
      <c r="A238" s="9">
        <v>236</v>
      </c>
      <c r="B238" s="106"/>
      <c r="C238" s="33" t="s">
        <v>641</v>
      </c>
      <c r="D238" s="4" t="s">
        <v>642</v>
      </c>
      <c r="E238" s="5" t="s">
        <v>29</v>
      </c>
      <c r="F238" s="6" t="s">
        <v>41</v>
      </c>
      <c r="G238" s="6" t="s">
        <v>42</v>
      </c>
      <c r="H238" s="11" t="s">
        <v>43</v>
      </c>
      <c r="I238" s="50" t="s">
        <v>692</v>
      </c>
      <c r="J238" s="11" t="s">
        <v>693</v>
      </c>
      <c r="K238" s="50" t="s">
        <v>44</v>
      </c>
      <c r="L238" s="50" t="str">
        <f>VLOOKUP(K238,'[1]list PIC'!C:E,2,0)</f>
        <v>Toni Wijaya</v>
      </c>
      <c r="M238" s="50" t="s">
        <v>694</v>
      </c>
      <c r="N238" s="50" t="s">
        <v>45</v>
      </c>
      <c r="O238" s="51" t="str">
        <f>VLOOKUP(N238,'[1]list PIC'!C:E,2,0)</f>
        <v>Evis Methawan</v>
      </c>
      <c r="P238" s="51" t="str">
        <f>VLOOKUP(N238,'[1]list PIC'!C:E,3,0)</f>
        <v>QA MGR</v>
      </c>
      <c r="Q238" s="52"/>
      <c r="R238" s="52"/>
      <c r="S238" s="52"/>
      <c r="T238" s="52"/>
      <c r="U238" s="52"/>
      <c r="V238" s="52"/>
      <c r="W238" s="52"/>
      <c r="X238" s="52"/>
      <c r="Y238" s="52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ht="31" x14ac:dyDescent="0.35">
      <c r="A239" s="9">
        <v>237</v>
      </c>
      <c r="B239" s="107"/>
      <c r="C239" s="67" t="s">
        <v>643</v>
      </c>
      <c r="D239" s="4" t="s">
        <v>644</v>
      </c>
      <c r="E239" s="15">
        <v>0</v>
      </c>
      <c r="F239" s="4" t="s">
        <v>645</v>
      </c>
      <c r="G239" s="4" t="s">
        <v>646</v>
      </c>
      <c r="H239" s="7" t="s">
        <v>647</v>
      </c>
      <c r="I239" s="50" t="str">
        <f>VLOOKUP(H239,'[1]list PIC'!C:E,2,0)</f>
        <v>David Krestiyawan</v>
      </c>
      <c r="J239" s="50" t="s">
        <v>757</v>
      </c>
      <c r="K239" s="50" t="s">
        <v>331</v>
      </c>
      <c r="L239" s="50" t="str">
        <f>VLOOKUP(K239,'[1]list PIC'!C:E,2,0)</f>
        <v>Dedy Hariawan</v>
      </c>
      <c r="M239" s="50" t="str">
        <f>VLOOKUP(K239,'[1]list PIC'!C:E,3,0)</f>
        <v>FATP-EXIM JMGR</v>
      </c>
      <c r="N239" s="50" t="s">
        <v>331</v>
      </c>
      <c r="O239" s="50" t="str">
        <f>VLOOKUP(N239,'[1]list PIC'!C:E,2,0)</f>
        <v>Dedy Hariawan</v>
      </c>
      <c r="P239" s="50" t="str">
        <f>VLOOKUP(N239,'[1]list PIC'!C:E,3,0)</f>
        <v>FATP-EXIM JMGR</v>
      </c>
      <c r="Q239" s="52"/>
      <c r="R239" s="52"/>
      <c r="S239" s="52"/>
      <c r="T239" s="52"/>
      <c r="U239" s="52"/>
      <c r="V239" s="52"/>
      <c r="W239" s="52"/>
      <c r="X239" s="52"/>
      <c r="Y239" s="52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ht="46.5" x14ac:dyDescent="0.35">
      <c r="A240" s="9">
        <v>238</v>
      </c>
      <c r="B240" s="53" t="s">
        <v>774</v>
      </c>
      <c r="C240" s="32" t="s">
        <v>648</v>
      </c>
      <c r="D240" s="4" t="s">
        <v>649</v>
      </c>
      <c r="E240" s="5" t="s">
        <v>23</v>
      </c>
      <c r="F240" s="6" t="s">
        <v>611</v>
      </c>
      <c r="G240" s="57" t="s">
        <v>612</v>
      </c>
      <c r="H240" s="29" t="s">
        <v>585</v>
      </c>
      <c r="I240" s="50" t="s">
        <v>770</v>
      </c>
      <c r="J240" s="11" t="s">
        <v>768</v>
      </c>
      <c r="K240" s="29" t="s">
        <v>493</v>
      </c>
      <c r="L240" s="50" t="str">
        <f>VLOOKUP(K240,'[1]list PIC'!C:E,2,0)</f>
        <v>Danny Harly S</v>
      </c>
      <c r="M240" s="50" t="s">
        <v>752</v>
      </c>
      <c r="N240" s="29" t="s">
        <v>494</v>
      </c>
      <c r="O240" s="51" t="str">
        <f>VLOOKUP(N240,'[1]list PIC'!C:E,2,0)</f>
        <v>Ratna Adi Yuniar</v>
      </c>
      <c r="P240" s="51" t="str">
        <f>VLOOKUP(N240,'[1]list PIC'!C:E,3,0)</f>
        <v>ENG MGR</v>
      </c>
      <c r="Q240" s="50" t="s">
        <v>561</v>
      </c>
      <c r="R240" s="50" t="str">
        <f>VLOOKUP(Q240,'[1]list PIC'!C:E,2,0)</f>
        <v>M Chasan Basri</v>
      </c>
      <c r="S240" s="50" t="str">
        <f>VLOOKUP(Q240,'[1]list PIC'!C:E,3,0)</f>
        <v>MTC SSPV</v>
      </c>
      <c r="T240" s="50" t="s">
        <v>90</v>
      </c>
      <c r="U240" s="50" t="str">
        <f>VLOOKUP(T240,'[1]list PIC'!C:E,2,0)</f>
        <v>Kholiq Imam W</v>
      </c>
      <c r="V240" s="50" t="str">
        <f>VLOOKUP(T240,'[1]list PIC'!C:E,3,0)</f>
        <v>MTC MGR</v>
      </c>
      <c r="W240" s="50" t="s">
        <v>90</v>
      </c>
      <c r="X240" s="51" t="str">
        <f>VLOOKUP(W240,'[1]list PIC'!C:E,2,0)</f>
        <v>Kholiq Imam W</v>
      </c>
      <c r="Y240" s="51" t="str">
        <f>VLOOKUP(W240,'[1]list PIC'!C:E,3,0)</f>
        <v>MTC MGR</v>
      </c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ht="15.5" x14ac:dyDescent="0.35">
      <c r="A241" s="9">
        <v>239</v>
      </c>
      <c r="B241" s="105" t="s">
        <v>775</v>
      </c>
      <c r="C241" s="33" t="s">
        <v>650</v>
      </c>
      <c r="D241" s="4" t="s">
        <v>651</v>
      </c>
      <c r="E241" s="5" t="s">
        <v>17</v>
      </c>
      <c r="F241" s="6" t="s">
        <v>619</v>
      </c>
      <c r="G241" s="6" t="s">
        <v>560</v>
      </c>
      <c r="H241" s="7" t="s">
        <v>561</v>
      </c>
      <c r="I241" s="50" t="str">
        <f>VLOOKUP(H241,'[1]list PIC'!C:E,2,0)</f>
        <v>M Chasan Basri</v>
      </c>
      <c r="J241" s="50" t="s">
        <v>765</v>
      </c>
      <c r="K241" s="50" t="s">
        <v>90</v>
      </c>
      <c r="L241" s="50" t="str">
        <f>VLOOKUP(K241,'[1]list PIC'!C:E,2,0)</f>
        <v>Kholiq Imam W</v>
      </c>
      <c r="M241" s="50" t="str">
        <f>VLOOKUP(K241,'[1]list PIC'!C:E,3,0)</f>
        <v>MTC MGR</v>
      </c>
      <c r="N241" s="50" t="s">
        <v>90</v>
      </c>
      <c r="O241" s="51" t="str">
        <f>VLOOKUP(N241,'[1]list PIC'!C:E,2,0)</f>
        <v>Kholiq Imam W</v>
      </c>
      <c r="P241" s="51" t="str">
        <f>VLOOKUP(N241,'[1]list PIC'!C:E,3,0)</f>
        <v>MTC MGR</v>
      </c>
      <c r="Q241" s="52"/>
      <c r="R241" s="52"/>
      <c r="S241" s="52"/>
      <c r="T241" s="52"/>
      <c r="U241" s="52"/>
      <c r="V241" s="52"/>
      <c r="W241" s="52"/>
      <c r="X241" s="52"/>
      <c r="Y241" s="52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ht="31" x14ac:dyDescent="0.35">
      <c r="A242" s="9">
        <v>240</v>
      </c>
      <c r="B242" s="106"/>
      <c r="C242" s="32" t="s">
        <v>652</v>
      </c>
      <c r="D242" s="4" t="s">
        <v>653</v>
      </c>
      <c r="E242" s="5" t="s">
        <v>20</v>
      </c>
      <c r="F242" s="6" t="s">
        <v>619</v>
      </c>
      <c r="G242" s="6" t="s">
        <v>560</v>
      </c>
      <c r="H242" s="7" t="s">
        <v>620</v>
      </c>
      <c r="I242" s="50" t="str">
        <f>VLOOKUP(H242,'[1]list PIC'!C:E,2,0)</f>
        <v>Rizal Firmansyah</v>
      </c>
      <c r="J242" s="50" t="s">
        <v>773</v>
      </c>
      <c r="K242" s="7" t="s">
        <v>561</v>
      </c>
      <c r="L242" s="50" t="str">
        <f>VLOOKUP(K242,'[1]list PIC'!C:E,2,0)</f>
        <v>M Chasan Basri</v>
      </c>
      <c r="M242" s="50" t="str">
        <f>VLOOKUP(K242,'[1]list PIC'!C:E,3,0)</f>
        <v>MTC SSPV</v>
      </c>
      <c r="N242" s="50" t="s">
        <v>90</v>
      </c>
      <c r="O242" s="51" t="str">
        <f>VLOOKUP(N242,'[1]list PIC'!C:E,2,0)</f>
        <v>Kholiq Imam W</v>
      </c>
      <c r="P242" s="51" t="str">
        <f>VLOOKUP(N242,'[1]list PIC'!C:E,3,0)</f>
        <v>MTC MGR</v>
      </c>
      <c r="Q242" s="52"/>
      <c r="R242" s="52"/>
      <c r="S242" s="52"/>
      <c r="T242" s="52"/>
      <c r="U242" s="52"/>
      <c r="V242" s="52"/>
      <c r="W242" s="52"/>
      <c r="X242" s="52"/>
      <c r="Y242" s="52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ht="31" x14ac:dyDescent="0.35">
      <c r="A243" s="9">
        <v>241</v>
      </c>
      <c r="B243" s="106"/>
      <c r="C243" s="32" t="s">
        <v>654</v>
      </c>
      <c r="D243" s="6" t="s">
        <v>655</v>
      </c>
      <c r="E243" s="5" t="s">
        <v>76</v>
      </c>
      <c r="F243" s="6" t="s">
        <v>559</v>
      </c>
      <c r="G243" s="6" t="s">
        <v>560</v>
      </c>
      <c r="H243" s="7" t="s">
        <v>620</v>
      </c>
      <c r="I243" s="50" t="str">
        <f>VLOOKUP(H243,'[1]list PIC'!C:E,2,0)</f>
        <v>Rizal Firmansyah</v>
      </c>
      <c r="J243" s="50" t="s">
        <v>773</v>
      </c>
      <c r="K243" s="7" t="s">
        <v>561</v>
      </c>
      <c r="L243" s="50" t="str">
        <f>VLOOKUP(K243,'[1]list PIC'!C:E,2,0)</f>
        <v>M Chasan Basri</v>
      </c>
      <c r="M243" s="50" t="str">
        <f>VLOOKUP(K243,'[1]list PIC'!C:E,3,0)</f>
        <v>MTC SSPV</v>
      </c>
      <c r="N243" s="50" t="s">
        <v>90</v>
      </c>
      <c r="O243" s="51" t="str">
        <f>VLOOKUP(N243,'[1]list PIC'!C:E,2,0)</f>
        <v>Kholiq Imam W</v>
      </c>
      <c r="P243" s="51" t="str">
        <f>VLOOKUP(N243,'[1]list PIC'!C:E,3,0)</f>
        <v>MTC MGR</v>
      </c>
      <c r="Q243" s="52"/>
      <c r="R243" s="52"/>
      <c r="S243" s="52"/>
      <c r="T243" s="52"/>
      <c r="U243" s="52"/>
      <c r="V243" s="52"/>
      <c r="W243" s="52"/>
      <c r="X243" s="52"/>
      <c r="Y243" s="52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ht="46.5" x14ac:dyDescent="0.35">
      <c r="A244" s="9">
        <v>242</v>
      </c>
      <c r="B244" s="106"/>
      <c r="C244" s="32" t="s">
        <v>656</v>
      </c>
      <c r="D244" s="4" t="s">
        <v>657</v>
      </c>
      <c r="E244" s="5" t="s">
        <v>17</v>
      </c>
      <c r="F244" s="6" t="s">
        <v>583</v>
      </c>
      <c r="G244" s="6" t="s">
        <v>615</v>
      </c>
      <c r="H244" s="11" t="s">
        <v>616</v>
      </c>
      <c r="I244" s="50" t="s">
        <v>772</v>
      </c>
      <c r="J244" s="11" t="s">
        <v>768</v>
      </c>
      <c r="K244" s="50" t="s">
        <v>493</v>
      </c>
      <c r="L244" s="50" t="str">
        <f>VLOOKUP(K244,'[1]list PIC'!C:E,2,0)</f>
        <v>Danny Harly S</v>
      </c>
      <c r="M244" s="50" t="s">
        <v>752</v>
      </c>
      <c r="N244" s="50" t="s">
        <v>494</v>
      </c>
      <c r="O244" s="51" t="str">
        <f>VLOOKUP(N244,'[1]list PIC'!C:E,2,0)</f>
        <v>Ratna Adi Yuniar</v>
      </c>
      <c r="P244" s="51" t="str">
        <f>VLOOKUP(N244,'[1]list PIC'!C:E,3,0)</f>
        <v>ENG MGR</v>
      </c>
      <c r="Q244" s="52"/>
      <c r="R244" s="52"/>
      <c r="S244" s="52"/>
      <c r="T244" s="52"/>
      <c r="U244" s="52"/>
      <c r="V244" s="52"/>
      <c r="W244" s="52"/>
      <c r="X244" s="52"/>
      <c r="Y244" s="52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ht="46.5" x14ac:dyDescent="0.35">
      <c r="A245" s="9">
        <v>243</v>
      </c>
      <c r="B245" s="106"/>
      <c r="C245" s="33" t="s">
        <v>658</v>
      </c>
      <c r="D245" s="4" t="s">
        <v>659</v>
      </c>
      <c r="E245" s="5" t="s">
        <v>20</v>
      </c>
      <c r="F245" s="6" t="s">
        <v>583</v>
      </c>
      <c r="G245" s="29" t="s">
        <v>584</v>
      </c>
      <c r="H245" s="11" t="s">
        <v>585</v>
      </c>
      <c r="I245" s="50" t="s">
        <v>770</v>
      </c>
      <c r="J245" s="11" t="s">
        <v>768</v>
      </c>
      <c r="K245" s="29" t="s">
        <v>493</v>
      </c>
      <c r="L245" s="50" t="str">
        <f>VLOOKUP(K245,'[1]list PIC'!C:E,2,0)</f>
        <v>Danny Harly S</v>
      </c>
      <c r="M245" s="50" t="s">
        <v>752</v>
      </c>
      <c r="N245" s="29" t="s">
        <v>494</v>
      </c>
      <c r="O245" s="51" t="str">
        <f>VLOOKUP(N245,'[1]list PIC'!C:E,2,0)</f>
        <v>Ratna Adi Yuniar</v>
      </c>
      <c r="P245" s="51" t="str">
        <f>VLOOKUP(N245,'[1]list PIC'!C:E,3,0)</f>
        <v>ENG MGR</v>
      </c>
      <c r="Q245" s="52"/>
      <c r="R245" s="52"/>
      <c r="S245" s="52"/>
      <c r="T245" s="52"/>
      <c r="U245" s="52"/>
      <c r="V245" s="52"/>
      <c r="W245" s="52"/>
      <c r="X245" s="52"/>
      <c r="Y245" s="52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ht="31" x14ac:dyDescent="0.35">
      <c r="A246" s="9">
        <v>244</v>
      </c>
      <c r="B246" s="106"/>
      <c r="C246" s="33" t="s">
        <v>660</v>
      </c>
      <c r="D246" s="4" t="s">
        <v>661</v>
      </c>
      <c r="E246" s="5" t="s">
        <v>29</v>
      </c>
      <c r="F246" s="6" t="s">
        <v>619</v>
      </c>
      <c r="G246" s="6" t="s">
        <v>560</v>
      </c>
      <c r="H246" s="7" t="s">
        <v>620</v>
      </c>
      <c r="I246" s="50" t="str">
        <f>VLOOKUP(H246,'[1]list PIC'!C:E,2,0)</f>
        <v>Rizal Firmansyah</v>
      </c>
      <c r="J246" s="50" t="s">
        <v>773</v>
      </c>
      <c r="K246" s="7" t="s">
        <v>561</v>
      </c>
      <c r="L246" s="50" t="str">
        <f>VLOOKUP(K246,'[1]list PIC'!C:E,2,0)</f>
        <v>M Chasan Basri</v>
      </c>
      <c r="M246" s="50" t="str">
        <f>VLOOKUP(K246,'[1]list PIC'!C:E,3,0)</f>
        <v>MTC SSPV</v>
      </c>
      <c r="N246" s="50" t="s">
        <v>90</v>
      </c>
      <c r="O246" s="51" t="str">
        <f>VLOOKUP(N246,'[1]list PIC'!C:E,2,0)</f>
        <v>Kholiq Imam W</v>
      </c>
      <c r="P246" s="51" t="str">
        <f>VLOOKUP(N246,'[1]list PIC'!C:E,3,0)</f>
        <v>MTC MGR</v>
      </c>
      <c r="Q246" s="52"/>
      <c r="R246" s="52"/>
      <c r="S246" s="52"/>
      <c r="T246" s="52"/>
      <c r="U246" s="52"/>
      <c r="V246" s="52"/>
      <c r="W246" s="52"/>
      <c r="X246" s="52"/>
      <c r="Y246" s="52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ht="31" x14ac:dyDescent="0.35">
      <c r="A247" s="9">
        <v>245</v>
      </c>
      <c r="B247" s="106"/>
      <c r="C247" s="58" t="s">
        <v>662</v>
      </c>
      <c r="D247" s="4" t="s">
        <v>663</v>
      </c>
      <c r="E247" s="5" t="s">
        <v>29</v>
      </c>
      <c r="F247" s="6" t="s">
        <v>619</v>
      </c>
      <c r="G247" s="6" t="s">
        <v>560</v>
      </c>
      <c r="H247" s="7" t="s">
        <v>620</v>
      </c>
      <c r="I247" s="50" t="str">
        <f>VLOOKUP(H247,'[1]list PIC'!C:E,2,0)</f>
        <v>Rizal Firmansyah</v>
      </c>
      <c r="J247" s="50" t="s">
        <v>773</v>
      </c>
      <c r="K247" s="7" t="s">
        <v>561</v>
      </c>
      <c r="L247" s="50" t="str">
        <f>VLOOKUP(K247,'[1]list PIC'!C:E,2,0)</f>
        <v>M Chasan Basri</v>
      </c>
      <c r="M247" s="50" t="str">
        <f>VLOOKUP(K247,'[1]list PIC'!C:E,3,0)</f>
        <v>MTC SSPV</v>
      </c>
      <c r="N247" s="50" t="s">
        <v>90</v>
      </c>
      <c r="O247" s="51" t="str">
        <f>VLOOKUP(N247,'[1]list PIC'!C:E,2,0)</f>
        <v>Kholiq Imam W</v>
      </c>
      <c r="P247" s="51" t="str">
        <f>VLOOKUP(N247,'[1]list PIC'!C:E,3,0)</f>
        <v>MTC MGR</v>
      </c>
      <c r="Q247" s="52"/>
      <c r="R247" s="52"/>
      <c r="S247" s="52"/>
      <c r="T247" s="52"/>
      <c r="U247" s="52"/>
      <c r="V247" s="52"/>
      <c r="W247" s="52"/>
      <c r="X247" s="52"/>
      <c r="Y247" s="52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ht="46.5" x14ac:dyDescent="0.35">
      <c r="A248" s="9">
        <v>246</v>
      </c>
      <c r="B248" s="107"/>
      <c r="C248" s="58" t="s">
        <v>664</v>
      </c>
      <c r="D248" s="4" t="s">
        <v>665</v>
      </c>
      <c r="E248" s="5">
        <v>0</v>
      </c>
      <c r="F248" s="6" t="s">
        <v>583</v>
      </c>
      <c r="G248" s="29" t="s">
        <v>584</v>
      </c>
      <c r="H248" s="11" t="s">
        <v>585</v>
      </c>
      <c r="I248" s="50" t="s">
        <v>770</v>
      </c>
      <c r="J248" s="11" t="s">
        <v>768</v>
      </c>
      <c r="K248" s="29" t="s">
        <v>493</v>
      </c>
      <c r="L248" s="50" t="str">
        <f>VLOOKUP(K248,'[1]list PIC'!C:E,2,0)</f>
        <v>Danny Harly S</v>
      </c>
      <c r="M248" s="50" t="s">
        <v>752</v>
      </c>
      <c r="N248" s="29" t="s">
        <v>494</v>
      </c>
      <c r="O248" s="51" t="str">
        <f>VLOOKUP(N248,'[1]list PIC'!C:E,2,0)</f>
        <v>Ratna Adi Yuniar</v>
      </c>
      <c r="P248" s="51" t="str">
        <f>VLOOKUP(N248,'[1]list PIC'!C:E,3,0)</f>
        <v>ENG MGR</v>
      </c>
      <c r="Q248" s="52"/>
      <c r="R248" s="52"/>
      <c r="S248" s="52"/>
      <c r="T248" s="52"/>
      <c r="U248" s="52"/>
      <c r="V248" s="52"/>
      <c r="W248" s="52"/>
      <c r="X248" s="52"/>
      <c r="Y248" s="52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ht="31" x14ac:dyDescent="0.35">
      <c r="A249" s="9">
        <v>247</v>
      </c>
      <c r="B249" s="68" t="s">
        <v>776</v>
      </c>
      <c r="C249" s="32" t="s">
        <v>666</v>
      </c>
      <c r="D249" s="4" t="s">
        <v>667</v>
      </c>
      <c r="E249" s="5">
        <v>10</v>
      </c>
      <c r="F249" s="6" t="s">
        <v>668</v>
      </c>
      <c r="G249" s="6" t="s">
        <v>56</v>
      </c>
      <c r="H249" s="7" t="s">
        <v>57</v>
      </c>
      <c r="I249" s="50" t="str">
        <f>VLOOKUP(H249,'[1]list PIC'!C:E,2,0)</f>
        <v>Shinta Feriyanti</v>
      </c>
      <c r="J249" s="50" t="s">
        <v>697</v>
      </c>
      <c r="K249" s="56" t="s">
        <v>44</v>
      </c>
      <c r="L249" s="50" t="str">
        <f>VLOOKUP(K249,'[1]list PIC'!C:E,2,0)</f>
        <v>Toni Wijaya</v>
      </c>
      <c r="M249" s="50" t="s">
        <v>694</v>
      </c>
      <c r="N249" s="56" t="s">
        <v>45</v>
      </c>
      <c r="O249" s="51" t="str">
        <f>VLOOKUP(N249,'[1]list PIC'!C:E,2,0)</f>
        <v>Evis Methawan</v>
      </c>
      <c r="P249" s="51" t="str">
        <f>VLOOKUP(N249,'[1]list PIC'!C:E,3,0)</f>
        <v>QA MGR</v>
      </c>
      <c r="Q249" s="52"/>
      <c r="R249" s="52"/>
      <c r="S249" s="52"/>
      <c r="T249" s="52"/>
      <c r="U249" s="52"/>
      <c r="V249" s="52"/>
      <c r="W249" s="52"/>
      <c r="X249" s="52"/>
      <c r="Y249" s="52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ht="31" x14ac:dyDescent="0.35">
      <c r="A250" s="9">
        <v>248</v>
      </c>
      <c r="B250" s="105" t="s">
        <v>777</v>
      </c>
      <c r="C250" s="33" t="s">
        <v>669</v>
      </c>
      <c r="D250" s="6" t="s">
        <v>670</v>
      </c>
      <c r="E250" s="5" t="s">
        <v>76</v>
      </c>
      <c r="F250" s="6" t="s">
        <v>668</v>
      </c>
      <c r="G250" s="6" t="s">
        <v>56</v>
      </c>
      <c r="H250" s="7" t="s">
        <v>57</v>
      </c>
      <c r="I250" s="50" t="str">
        <f>VLOOKUP(H250,'[1]list PIC'!C:E,2,0)</f>
        <v>Shinta Feriyanti</v>
      </c>
      <c r="J250" s="50" t="s">
        <v>697</v>
      </c>
      <c r="K250" s="56" t="s">
        <v>44</v>
      </c>
      <c r="L250" s="50" t="str">
        <f>VLOOKUP(K250,'[1]list PIC'!C:E,2,0)</f>
        <v>Toni Wijaya</v>
      </c>
      <c r="M250" s="50" t="s">
        <v>694</v>
      </c>
      <c r="N250" s="56" t="s">
        <v>45</v>
      </c>
      <c r="O250" s="51" t="str">
        <f>VLOOKUP(N250,'[1]list PIC'!C:E,2,0)</f>
        <v>Evis Methawan</v>
      </c>
      <c r="P250" s="51" t="str">
        <f>VLOOKUP(N250,'[1]list PIC'!C:E,3,0)</f>
        <v>QA MGR</v>
      </c>
      <c r="Q250" s="52"/>
      <c r="R250" s="52"/>
      <c r="S250" s="52"/>
      <c r="T250" s="52"/>
      <c r="U250" s="52"/>
      <c r="V250" s="52"/>
      <c r="W250" s="52"/>
      <c r="X250" s="52"/>
      <c r="Y250" s="52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ht="31" x14ac:dyDescent="0.35">
      <c r="A251" s="9">
        <v>249</v>
      </c>
      <c r="B251" s="106"/>
      <c r="C251" s="33" t="s">
        <v>671</v>
      </c>
      <c r="D251" s="6" t="s">
        <v>672</v>
      </c>
      <c r="E251" s="5" t="s">
        <v>20</v>
      </c>
      <c r="F251" s="6" t="s">
        <v>668</v>
      </c>
      <c r="G251" s="6" t="s">
        <v>56</v>
      </c>
      <c r="H251" s="7" t="s">
        <v>57</v>
      </c>
      <c r="I251" s="50" t="str">
        <f>VLOOKUP(H251,'[1]list PIC'!C:E,2,0)</f>
        <v>Shinta Feriyanti</v>
      </c>
      <c r="J251" s="50" t="s">
        <v>697</v>
      </c>
      <c r="K251" s="56" t="s">
        <v>44</v>
      </c>
      <c r="L251" s="50" t="str">
        <f>VLOOKUP(K251,'[1]list PIC'!C:E,2,0)</f>
        <v>Toni Wijaya</v>
      </c>
      <c r="M251" s="50" t="s">
        <v>694</v>
      </c>
      <c r="N251" s="56" t="s">
        <v>45</v>
      </c>
      <c r="O251" s="51" t="str">
        <f>VLOOKUP(N251,'[1]list PIC'!C:E,2,0)</f>
        <v>Evis Methawan</v>
      </c>
      <c r="P251" s="51" t="str">
        <f>VLOOKUP(N251,'[1]list PIC'!C:E,3,0)</f>
        <v>QA MGR</v>
      </c>
      <c r="Q251" s="52"/>
      <c r="R251" s="52"/>
      <c r="S251" s="52"/>
      <c r="T251" s="52"/>
      <c r="U251" s="52"/>
      <c r="V251" s="52"/>
      <c r="W251" s="52"/>
      <c r="X251" s="52"/>
      <c r="Y251" s="52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ht="31" x14ac:dyDescent="0.35">
      <c r="A252" s="9">
        <v>250</v>
      </c>
      <c r="B252" s="106"/>
      <c r="C252" s="32" t="s">
        <v>673</v>
      </c>
      <c r="D252" s="6" t="s">
        <v>674</v>
      </c>
      <c r="E252" s="5" t="s">
        <v>194</v>
      </c>
      <c r="F252" s="6" t="s">
        <v>668</v>
      </c>
      <c r="G252" s="6" t="s">
        <v>56</v>
      </c>
      <c r="H252" s="7" t="s">
        <v>57</v>
      </c>
      <c r="I252" s="50" t="str">
        <f>VLOOKUP(H252,'[1]list PIC'!C:E,2,0)</f>
        <v>Shinta Feriyanti</v>
      </c>
      <c r="J252" s="50" t="s">
        <v>697</v>
      </c>
      <c r="K252" s="56" t="s">
        <v>44</v>
      </c>
      <c r="L252" s="50" t="str">
        <f>VLOOKUP(K252,'[1]list PIC'!C:E,2,0)</f>
        <v>Toni Wijaya</v>
      </c>
      <c r="M252" s="50" t="s">
        <v>694</v>
      </c>
      <c r="N252" s="56" t="s">
        <v>45</v>
      </c>
      <c r="O252" s="51" t="str">
        <f>VLOOKUP(N252,'[1]list PIC'!C:E,2,0)</f>
        <v>Evis Methawan</v>
      </c>
      <c r="P252" s="51" t="str">
        <f>VLOOKUP(N252,'[1]list PIC'!C:E,3,0)</f>
        <v>QA MGR</v>
      </c>
      <c r="Q252" s="52"/>
      <c r="R252" s="52"/>
      <c r="S252" s="52"/>
      <c r="T252" s="52"/>
      <c r="U252" s="52"/>
      <c r="V252" s="52"/>
      <c r="W252" s="52"/>
      <c r="X252" s="52"/>
      <c r="Y252" s="52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ht="62" x14ac:dyDescent="0.35">
      <c r="A253" s="9">
        <v>251</v>
      </c>
      <c r="B253" s="106"/>
      <c r="C253" s="32" t="s">
        <v>675</v>
      </c>
      <c r="D253" s="4" t="s">
        <v>676</v>
      </c>
      <c r="E253" s="5" t="s">
        <v>40</v>
      </c>
      <c r="F253" s="6" t="s">
        <v>490</v>
      </c>
      <c r="G253" s="57" t="s">
        <v>491</v>
      </c>
      <c r="H253" s="11" t="s">
        <v>778</v>
      </c>
      <c r="I253" s="50" t="s">
        <v>779</v>
      </c>
      <c r="J253" s="11" t="s">
        <v>780</v>
      </c>
      <c r="K253" s="29" t="s">
        <v>493</v>
      </c>
      <c r="L253" s="50" t="str">
        <f>VLOOKUP(K253,'[1]list PIC'!C:E,2,0)</f>
        <v>Danny Harly S</v>
      </c>
      <c r="M253" s="50" t="s">
        <v>752</v>
      </c>
      <c r="N253" s="29" t="s">
        <v>494</v>
      </c>
      <c r="O253" s="51" t="str">
        <f>VLOOKUP(N253,'[1]list PIC'!C:E,2,0)</f>
        <v>Ratna Adi Yuniar</v>
      </c>
      <c r="P253" s="51" t="str">
        <f>VLOOKUP(N253,'[1]list PIC'!C:E,3,0)</f>
        <v>ENG MGR</v>
      </c>
      <c r="Q253" s="11" t="s">
        <v>43</v>
      </c>
      <c r="R253" s="50" t="s">
        <v>692</v>
      </c>
      <c r="S253" s="11" t="s">
        <v>693</v>
      </c>
      <c r="T253" s="50" t="s">
        <v>44</v>
      </c>
      <c r="U253" s="50" t="str">
        <f>VLOOKUP(T253,'[1]list PIC'!C:E,2,0)</f>
        <v>Toni Wijaya</v>
      </c>
      <c r="V253" s="50" t="str">
        <f>VLOOKUP(T253,'[1]list PIC'!C:E,3,0)</f>
        <v>QA SSPV</v>
      </c>
      <c r="W253" s="50" t="s">
        <v>45</v>
      </c>
      <c r="X253" s="51" t="str">
        <f>VLOOKUP(W253,'[1]list PIC'!C:E,2,0)</f>
        <v>Evis Methawan</v>
      </c>
      <c r="Y253" s="51" t="str">
        <f>VLOOKUP(W253,'[1]list PIC'!C:E,3,0)</f>
        <v>QA MGR</v>
      </c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ht="31" x14ac:dyDescent="0.35">
      <c r="A254" s="34">
        <v>252</v>
      </c>
      <c r="B254" s="108"/>
      <c r="C254" s="35" t="s">
        <v>677</v>
      </c>
      <c r="D254" s="36" t="s">
        <v>678</v>
      </c>
      <c r="E254" s="37" t="s">
        <v>23</v>
      </c>
      <c r="F254" s="38" t="s">
        <v>668</v>
      </c>
      <c r="G254" s="38" t="s">
        <v>56</v>
      </c>
      <c r="H254" s="39" t="s">
        <v>57</v>
      </c>
      <c r="I254" s="50" t="str">
        <f>VLOOKUP(H254,'[1]list PIC'!C:E,2,0)</f>
        <v>Shinta Feriyanti</v>
      </c>
      <c r="J254" s="50" t="s">
        <v>697</v>
      </c>
      <c r="K254" s="69" t="s">
        <v>44</v>
      </c>
      <c r="L254" s="50" t="str">
        <f>VLOOKUP(K254,'[1]list PIC'!C:E,2,0)</f>
        <v>Toni Wijaya</v>
      </c>
      <c r="M254" s="50" t="s">
        <v>694</v>
      </c>
      <c r="N254" s="69" t="s">
        <v>45</v>
      </c>
      <c r="O254" s="51" t="str">
        <f>VLOOKUP(N254,'[1]list PIC'!C:E,2,0)</f>
        <v>Evis Methawan</v>
      </c>
      <c r="P254" s="51" t="str">
        <f>VLOOKUP(N254,'[1]list PIC'!C:E,3,0)</f>
        <v>QA MGR</v>
      </c>
      <c r="Q254" s="52"/>
      <c r="R254" s="52"/>
      <c r="S254" s="52"/>
      <c r="T254" s="52"/>
      <c r="U254" s="52"/>
      <c r="V254" s="52"/>
      <c r="W254" s="52"/>
      <c r="X254" s="52"/>
      <c r="Y254" s="52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6" spans="1:50" x14ac:dyDescent="0.35">
      <c r="H256" s="41"/>
      <c r="I256" s="41"/>
      <c r="J256" s="41"/>
    </row>
    <row r="257" spans="7:16" x14ac:dyDescent="0.35">
      <c r="H257" s="41"/>
      <c r="I257" s="41"/>
      <c r="J257" s="41"/>
    </row>
    <row r="258" spans="7:16" x14ac:dyDescent="0.35"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7:16" x14ac:dyDescent="0.35">
      <c r="H259" s="41"/>
      <c r="I259" s="41"/>
      <c r="J259" s="41"/>
    </row>
    <row r="260" spans="7:16" x14ac:dyDescent="0.35">
      <c r="H260" s="41"/>
      <c r="I260" s="41"/>
      <c r="J260" s="41"/>
      <c r="L260" s="70"/>
    </row>
    <row r="261" spans="7:16" x14ac:dyDescent="0.35">
      <c r="H261" s="41"/>
      <c r="I261" s="41"/>
      <c r="J261" s="41"/>
    </row>
    <row r="262" spans="7:16" x14ac:dyDescent="0.35">
      <c r="G262" s="42"/>
    </row>
  </sheetData>
  <autoFilter ref="A2:N254" xr:uid="{00000000-0009-0000-0000-000001000000}"/>
  <mergeCells count="23">
    <mergeCell ref="B228:B239"/>
    <mergeCell ref="B241:B248"/>
    <mergeCell ref="B250:B254"/>
    <mergeCell ref="B142:B173"/>
    <mergeCell ref="B175:B187"/>
    <mergeCell ref="B189:B201"/>
    <mergeCell ref="B203:B207"/>
    <mergeCell ref="B209:B226"/>
    <mergeCell ref="B56:B72"/>
    <mergeCell ref="B74:B87"/>
    <mergeCell ref="B91:B99"/>
    <mergeCell ref="B101:B117"/>
    <mergeCell ref="B119:B140"/>
    <mergeCell ref="B3:B4"/>
    <mergeCell ref="B5:B8"/>
    <mergeCell ref="B12:B22"/>
    <mergeCell ref="B24:B25"/>
    <mergeCell ref="B27:B54"/>
    <mergeCell ref="H1:P1"/>
    <mergeCell ref="Q1:Y1"/>
    <mergeCell ref="Z1:AF1"/>
    <mergeCell ref="AI1:AO1"/>
    <mergeCell ref="AR1:AZ1"/>
  </mergeCells>
  <hyperlinks>
    <hyperlink ref="C5" r:id="rId1" xr:uid="{00000000-0004-0000-0100-000000000000}"/>
    <hyperlink ref="C4" r:id="rId2" xr:uid="{00000000-0004-0000-0100-000001000000}"/>
    <hyperlink ref="C6" r:id="rId3" xr:uid="{00000000-0004-0000-0100-000002000000}"/>
    <hyperlink ref="C3" r:id="rId4" xr:uid="{00000000-0004-0000-0100-000003000000}"/>
    <hyperlink ref="C8" r:id="rId5" display="1.2 Work In Process Finish Good" xr:uid="{00000000-0004-0000-0100-000004000000}"/>
    <hyperlink ref="C7" r:id="rId6" xr:uid="{00000000-0004-0000-0100-000005000000}"/>
    <hyperlink ref="C10" r:id="rId7" display="Quality meeting" xr:uid="{00000000-0004-0000-0100-000006000000}"/>
    <hyperlink ref="C9" r:id="rId8" xr:uid="{00000000-0004-0000-0100-000007000000}"/>
    <hyperlink ref="C12" r:id="rId9" xr:uid="{00000000-0004-0000-0100-000008000000}"/>
    <hyperlink ref="C13" r:id="rId10" xr:uid="{00000000-0004-0000-0100-000009000000}"/>
    <hyperlink ref="C11" r:id="rId11" xr:uid="{00000000-0004-0000-0100-00000A000000}"/>
    <hyperlink ref="C14" r:id="rId12" xr:uid="{00000000-0004-0000-0100-00000B000000}"/>
    <hyperlink ref="C16" r:id="rId13" xr:uid="{00000000-0004-0000-0100-00000C000000}"/>
    <hyperlink ref="C18" r:id="rId14" xr:uid="{00000000-0004-0000-0100-00000D000000}"/>
    <hyperlink ref="C19" r:id="rId15" xr:uid="{00000000-0004-0000-0100-00000E000000}"/>
    <hyperlink ref="C17" r:id="rId16" xr:uid="{00000000-0004-0000-0100-00000F000000}"/>
    <hyperlink ref="C15" r:id="rId17" xr:uid="{00000000-0004-0000-0100-000010000000}"/>
    <hyperlink ref="C20" r:id="rId18" xr:uid="{00000000-0004-0000-0100-000011000000}"/>
    <hyperlink ref="C21" r:id="rId19" xr:uid="{00000000-0004-0000-0100-000012000000}"/>
    <hyperlink ref="C22" r:id="rId20" xr:uid="{00000000-0004-0000-0100-000013000000}"/>
    <hyperlink ref="C23" r:id="rId21" xr:uid="{00000000-0004-0000-0100-000014000000}"/>
    <hyperlink ref="C24" r:id="rId22" xr:uid="{00000000-0004-0000-0100-000015000000}"/>
    <hyperlink ref="C25" r:id="rId23" xr:uid="{00000000-0004-0000-0100-000016000000}"/>
    <hyperlink ref="C26" r:id="rId24" xr:uid="{00000000-0004-0000-0100-000017000000}"/>
    <hyperlink ref="C31" r:id="rId25" xr:uid="{00000000-0004-0000-0100-000018000000}"/>
    <hyperlink ref="C27" r:id="rId26" xr:uid="{00000000-0004-0000-0100-000019000000}"/>
    <hyperlink ref="C29" r:id="rId27" xr:uid="{00000000-0004-0000-0100-00001A000000}"/>
    <hyperlink ref="C28" r:id="rId28" xr:uid="{00000000-0004-0000-0100-00001B000000}"/>
    <hyperlink ref="C30" r:id="rId29" xr:uid="{00000000-0004-0000-0100-00001C000000}"/>
    <hyperlink ref="C33" r:id="rId30" xr:uid="{00000000-0004-0000-0100-00001D000000}"/>
    <hyperlink ref="C32" r:id="rId31" xr:uid="{00000000-0004-0000-0100-00001E000000}"/>
    <hyperlink ref="C57" r:id="rId32" display="1.2 Form Pick up Problem" xr:uid="{00000000-0004-0000-0100-00001F000000}"/>
    <hyperlink ref="C64" r:id="rId33" display="1.9 Offline training &amp; HVPT" xr:uid="{00000000-0004-0000-0100-000020000000}"/>
    <hyperlink ref="C58" r:id="rId34" display="1.3 Risk Assessment" xr:uid="{00000000-0004-0000-0100-000021000000}"/>
    <hyperlink ref="C55" r:id="rId35" xr:uid="{00000000-0004-0000-0100-000022000000}"/>
    <hyperlink ref="C56" r:id="rId36" xr:uid="{00000000-0004-0000-0100-000023000000}"/>
    <hyperlink ref="C62" r:id="rId37" display="Pembuatan &amp; Review Berkala Dokumen PFMEA" xr:uid="{00000000-0004-0000-0100-000024000000}"/>
    <hyperlink ref="C63" r:id="rId38" xr:uid="{00000000-0004-0000-0100-000025000000}"/>
    <hyperlink ref="C43" r:id="rId39" xr:uid="{00000000-0004-0000-0100-000026000000}"/>
    <hyperlink ref="C59" r:id="rId40" xr:uid="{00000000-0004-0000-0100-000027000000}"/>
    <hyperlink ref="C60" r:id="rId41" xr:uid="{00000000-0004-0000-0100-000028000000}"/>
    <hyperlink ref="C48" r:id="rId42" xr:uid="{00000000-0004-0000-0100-000029000000}"/>
    <hyperlink ref="C42" r:id="rId43" xr:uid="{00000000-0004-0000-0100-00002A000000}"/>
    <hyperlink ref="C34" r:id="rId44" xr:uid="{00000000-0004-0000-0100-00002B000000}"/>
    <hyperlink ref="C41" r:id="rId45" xr:uid="{00000000-0004-0000-0100-00002C000000}"/>
    <hyperlink ref="C49" r:id="rId46" xr:uid="{00000000-0004-0000-0100-00002D000000}"/>
    <hyperlink ref="C50" r:id="rId47" xr:uid="{00000000-0004-0000-0100-00002E000000}"/>
    <hyperlink ref="C51" r:id="rId48" xr:uid="{00000000-0004-0000-0100-00002F000000}"/>
    <hyperlink ref="C52" r:id="rId49" xr:uid="{00000000-0004-0000-0100-000030000000}"/>
    <hyperlink ref="C36" r:id="rId50" xr:uid="{00000000-0004-0000-0100-000031000000}"/>
    <hyperlink ref="C35" r:id="rId51" xr:uid="{00000000-0004-0000-0100-000032000000}"/>
    <hyperlink ref="C39" r:id="rId52" xr:uid="{00000000-0004-0000-0100-000033000000}"/>
    <hyperlink ref="C40" r:id="rId53" xr:uid="{00000000-0004-0000-0100-000034000000}"/>
    <hyperlink ref="C44" r:id="rId54" xr:uid="{00000000-0004-0000-0100-000035000000}"/>
    <hyperlink ref="C45" r:id="rId55" xr:uid="{00000000-0004-0000-0100-000036000000}"/>
    <hyperlink ref="C37" r:id="rId56" display="Sistem Promosi Group Leader dan Line Leader" xr:uid="{00000000-0004-0000-0100-000037000000}"/>
    <hyperlink ref="C46" r:id="rId57" xr:uid="{00000000-0004-0000-0100-000038000000}"/>
    <hyperlink ref="C54" r:id="rId58" xr:uid="{00000000-0004-0000-0100-000039000000}"/>
    <hyperlink ref="C47" r:id="rId59" xr:uid="{00000000-0004-0000-0100-00003A000000}"/>
    <hyperlink ref="C53" r:id="rId60" xr:uid="{00000000-0004-0000-0100-00003B000000}"/>
    <hyperlink ref="C38" r:id="rId61" xr:uid="{00000000-0004-0000-0100-00003C000000}"/>
    <hyperlink ref="C61" r:id="rId62" display="Pembuatan &amp; Pengontrolan Inspection Standard (IS)" xr:uid="{00000000-0004-0000-0100-00003D000000}"/>
    <hyperlink ref="C69" r:id="rId63" xr:uid="{00000000-0004-0000-0100-00003E000000}"/>
    <hyperlink ref="C74" r:id="rId64" xr:uid="{00000000-0004-0000-0100-00003F000000}"/>
    <hyperlink ref="C75" r:id="rId65" xr:uid="{00000000-0004-0000-0100-000040000000}"/>
    <hyperlink ref="C76" r:id="rId66" xr:uid="{00000000-0004-0000-0100-000041000000}"/>
    <hyperlink ref="C73" r:id="rId67" xr:uid="{00000000-0004-0000-0100-000042000000}"/>
    <hyperlink ref="C65" r:id="rId68" xr:uid="{00000000-0004-0000-0100-000043000000}"/>
    <hyperlink ref="C70" r:id="rId69" xr:uid="{00000000-0004-0000-0100-000044000000}"/>
    <hyperlink ref="C66" r:id="rId70" xr:uid="{00000000-0004-0000-0100-000045000000}"/>
    <hyperlink ref="C67" r:id="rId71" xr:uid="{00000000-0004-0000-0100-000046000000}"/>
    <hyperlink ref="C71" r:id="rId72" xr:uid="{00000000-0004-0000-0100-000047000000}"/>
    <hyperlink ref="C68" r:id="rId73" xr:uid="{00000000-0004-0000-0100-000048000000}"/>
    <hyperlink ref="C72" r:id="rId74" xr:uid="{00000000-0004-0000-0100-000049000000}"/>
    <hyperlink ref="C77" r:id="rId75" xr:uid="{00000000-0004-0000-0100-00004A000000}"/>
    <hyperlink ref="C86" r:id="rId76" display="1.14 Mekanisme Penentuan Point Inspeksi" xr:uid="{00000000-0004-0000-0100-00004B000000}"/>
    <hyperlink ref="C84" r:id="rId77" xr:uid="{00000000-0004-0000-0100-00004C000000}"/>
    <hyperlink ref="C81" r:id="rId78" display="Verifikasi proses crimping " xr:uid="{00000000-0004-0000-0100-00004D000000}"/>
    <hyperlink ref="C85" r:id="rId79" xr:uid="{00000000-0004-0000-0100-00004E000000}"/>
    <hyperlink ref="C79" r:id="rId80" xr:uid="{00000000-0004-0000-0100-00004F000000}"/>
    <hyperlink ref="C83" r:id="rId81" xr:uid="{00000000-0004-0000-0100-000050000000}"/>
    <hyperlink ref="C82" r:id="rId82" xr:uid="{00000000-0004-0000-0100-000051000000}"/>
    <hyperlink ref="C78" r:id="rId83" xr:uid="{00000000-0004-0000-0100-000052000000}"/>
    <hyperlink ref="C80" r:id="rId84" xr:uid="{00000000-0004-0000-0100-000053000000}"/>
    <hyperlink ref="C88" r:id="rId85" xr:uid="{00000000-0004-0000-0100-000054000000}"/>
    <hyperlink ref="C87" r:id="rId86" xr:uid="{00000000-0004-0000-0100-000055000000}"/>
    <hyperlink ref="C89" r:id="rId87" xr:uid="{00000000-0004-0000-0100-000056000000}"/>
    <hyperlink ref="C95" r:id="rId88" xr:uid="{00000000-0004-0000-0100-000057000000}"/>
    <hyperlink ref="C91" r:id="rId89" xr:uid="{00000000-0004-0000-0100-000058000000}"/>
    <hyperlink ref="C93" r:id="rId90" xr:uid="{00000000-0004-0000-0100-000059000000}"/>
    <hyperlink ref="C90" r:id="rId91" xr:uid="{00000000-0004-0000-0100-00005A000000}"/>
    <hyperlink ref="C98" r:id="rId92" display="Request Air Freight finish goods " xr:uid="{00000000-0004-0000-0100-00005B000000}"/>
    <hyperlink ref="C92" r:id="rId93" xr:uid="{00000000-0004-0000-0100-00005C000000}"/>
    <hyperlink ref="C94" r:id="rId94" xr:uid="{00000000-0004-0000-0100-00005D000000}"/>
    <hyperlink ref="C96" r:id="rId95" xr:uid="{00000000-0004-0000-0100-00005E000000}"/>
    <hyperlink ref="C97" r:id="rId96" xr:uid="{00000000-0004-0000-0100-00005F000000}"/>
    <hyperlink ref="C101" r:id="rId97" xr:uid="{00000000-0004-0000-0100-000060000000}"/>
    <hyperlink ref="C99" r:id="rId98" xr:uid="{00000000-0004-0000-0100-000061000000}"/>
    <hyperlink ref="C100" r:id="rId99" xr:uid="{00000000-0004-0000-0100-000062000000}"/>
    <hyperlink ref="C103" r:id="rId100" xr:uid="{00000000-0004-0000-0100-000063000000}"/>
    <hyperlink ref="C102" r:id="rId101" xr:uid="{00000000-0004-0000-0100-000064000000}"/>
    <hyperlink ref="C108" r:id="rId102" xr:uid="{00000000-0004-0000-0100-000065000000}"/>
    <hyperlink ref="C110" r:id="rId103" xr:uid="{00000000-0004-0000-0100-000066000000}"/>
    <hyperlink ref="C104" r:id="rId104" xr:uid="{00000000-0004-0000-0100-000067000000}"/>
    <hyperlink ref="C106" r:id="rId105" xr:uid="{00000000-0004-0000-0100-000068000000}"/>
    <hyperlink ref="C109" r:id="rId106" xr:uid="{00000000-0004-0000-0100-000069000000}"/>
    <hyperlink ref="C105" r:id="rId107" xr:uid="{00000000-0004-0000-0100-00006A000000}"/>
    <hyperlink ref="C107" r:id="rId108" xr:uid="{00000000-0004-0000-0100-00006B000000}"/>
    <hyperlink ref="C114" r:id="rId109" xr:uid="{00000000-0004-0000-0100-00006C000000}"/>
    <hyperlink ref="C111" r:id="rId110" xr:uid="{00000000-0004-0000-0100-00006D000000}"/>
    <hyperlink ref="C112" r:id="rId111" xr:uid="{00000000-0004-0000-0100-00006E000000}"/>
    <hyperlink ref="C115" r:id="rId112" xr:uid="{00000000-0004-0000-0100-00006F000000}"/>
    <hyperlink ref="C113" r:id="rId113" xr:uid="{00000000-0004-0000-0100-000070000000}"/>
    <hyperlink ref="C117" r:id="rId114" xr:uid="{00000000-0004-0000-0100-000071000000}"/>
    <hyperlink ref="C116" r:id="rId115" xr:uid="{00000000-0004-0000-0100-000072000000}"/>
    <hyperlink ref="C119" r:id="rId116" xr:uid="{00000000-0004-0000-0100-000073000000}"/>
    <hyperlink ref="C120" r:id="rId117" xr:uid="{00000000-0004-0000-0100-000074000000}"/>
    <hyperlink ref="C118" r:id="rId118" xr:uid="{00000000-0004-0000-0100-000075000000}"/>
    <hyperlink ref="C121" r:id="rId119" xr:uid="{00000000-0004-0000-0100-000076000000}"/>
    <hyperlink ref="C124" r:id="rId120" xr:uid="{00000000-0004-0000-0100-000077000000}"/>
    <hyperlink ref="C123" r:id="rId121" xr:uid="{00000000-0004-0000-0100-000078000000}"/>
    <hyperlink ref="C122" r:id="rId122" display="Pengisian CS LHPK Pemeriksaan Ulang Part / Material" xr:uid="{00000000-0004-0000-0100-000079000000}"/>
    <hyperlink ref="C126" r:id="rId123" xr:uid="{00000000-0004-0000-0100-00007A000000}"/>
    <hyperlink ref="C125" r:id="rId124" xr:uid="{00000000-0004-0000-0100-00007B000000}"/>
    <hyperlink ref="C131" r:id="rId125" xr:uid="{00000000-0004-0000-0100-00007C000000}"/>
    <hyperlink ref="C130" r:id="rId126" xr:uid="{00000000-0004-0000-0100-00007D000000}"/>
    <hyperlink ref="C132" r:id="rId127" xr:uid="{00000000-0004-0000-0100-00007E000000}"/>
    <hyperlink ref="C128" r:id="rId128" xr:uid="{00000000-0004-0000-0100-00007F000000}"/>
    <hyperlink ref="C129" r:id="rId129" xr:uid="{00000000-0004-0000-0100-000080000000}"/>
    <hyperlink ref="C127" r:id="rId130" xr:uid="{00000000-0004-0000-0100-000081000000}"/>
    <hyperlink ref="C133" r:id="rId131" xr:uid="{00000000-0004-0000-0100-000082000000}"/>
    <hyperlink ref="C134" r:id="rId132" xr:uid="{00000000-0004-0000-0100-000083000000}"/>
    <hyperlink ref="C158" r:id="rId133" display="1.16 Pengisian CS LK Operator Cutting Doren Shield Wire" xr:uid="{00000000-0004-0000-0100-000084000000}"/>
    <hyperlink ref="C141" r:id="rId134" xr:uid="{00000000-0004-0000-0100-000085000000}"/>
    <hyperlink ref="C146" r:id="rId135" xr:uid="{00000000-0004-0000-0100-000086000000}"/>
    <hyperlink ref="C149" r:id="rId136" xr:uid="{00000000-0004-0000-0100-000087000000}"/>
    <hyperlink ref="C150" r:id="rId137" xr:uid="{00000000-0004-0000-0100-000088000000}"/>
    <hyperlink ref="C151" r:id="rId138" xr:uid="{00000000-0004-0000-0100-000089000000}"/>
    <hyperlink ref="C152" r:id="rId139" xr:uid="{00000000-0004-0000-0100-00008A000000}"/>
    <hyperlink ref="C154" r:id="rId140" xr:uid="{00000000-0004-0000-0100-00008B000000}"/>
    <hyperlink ref="C155" r:id="rId141" display="Pengisian CS L/K Operator &amp; Inspektor Joint Welding / Bonder" xr:uid="{00000000-0004-0000-0100-00008C000000}"/>
    <hyperlink ref="C144" r:id="rId142" xr:uid="{00000000-0004-0000-0100-00008D000000}"/>
    <hyperlink ref="C159" r:id="rId143" display="Voltage test dan pengecheckan scratch core" xr:uid="{00000000-0004-0000-0100-00008E000000}"/>
    <hyperlink ref="C135" r:id="rId144" xr:uid="{00000000-0004-0000-0100-00008F000000}"/>
    <hyperlink ref="C148" r:id="rId145" display="Pengisian CS LK Operator dan Inspektor Man. Crimping" xr:uid="{00000000-0004-0000-0100-000090000000}"/>
    <hyperlink ref="C147" r:id="rId146" display="Pengisian CS LK Operator dan Inspektor Cutting" xr:uid="{00000000-0004-0000-0100-000091000000}"/>
    <hyperlink ref="C142" r:id="rId147" xr:uid="{00000000-0004-0000-0100-000092000000}"/>
    <hyperlink ref="C145" r:id="rId148" xr:uid="{00000000-0004-0000-0100-000093000000}"/>
    <hyperlink ref="C143" r:id="rId149" xr:uid="{00000000-0004-0000-0100-000094000000}"/>
    <hyperlink ref="C137" r:id="rId150" xr:uid="{00000000-0004-0000-0100-000095000000}"/>
    <hyperlink ref="C153" r:id="rId151" xr:uid="{00000000-0004-0000-0100-000096000000}"/>
    <hyperlink ref="C156" r:id="rId152" xr:uid="{00000000-0004-0000-0100-000097000000}"/>
    <hyperlink ref="C157" r:id="rId153" xr:uid="{00000000-0004-0000-0100-000098000000}"/>
    <hyperlink ref="C136" r:id="rId154" xr:uid="{00000000-0004-0000-0100-000099000000}"/>
    <hyperlink ref="C138" r:id="rId155" xr:uid="{00000000-0004-0000-0100-00009A000000}"/>
    <hyperlink ref="C139" r:id="rId156" xr:uid="{00000000-0004-0000-0100-00009B000000}"/>
    <hyperlink ref="C140" r:id="rId157" xr:uid="{00000000-0004-0000-0100-00009C000000}"/>
    <hyperlink ref="C160" r:id="rId158" display="Pengisian CS L/K Operator &amp; Inspektor Manual Crimping Air Bag" xr:uid="{00000000-0004-0000-0100-00009D000000}"/>
    <hyperlink ref="C164" r:id="rId159" display="1.24 Rule 4M transition Pre Assy" xr:uid="{00000000-0004-0000-0100-00009E000000}"/>
    <hyperlink ref="C162" r:id="rId160" display="Pengisian Checksheet Quality Tube" xr:uid="{00000000-0004-0000-0100-00009F000000}"/>
    <hyperlink ref="C163" r:id="rId161" xr:uid="{00000000-0004-0000-0100-0000A0000000}"/>
    <hyperlink ref="C161" r:id="rId162" xr:uid="{00000000-0004-0000-0100-0000A1000000}"/>
    <hyperlink ref="C170" r:id="rId163" xr:uid="{00000000-0004-0000-0100-0000A2000000}"/>
    <hyperlink ref="C165" r:id="rId164" xr:uid="{00000000-0004-0000-0100-0000A3000000}"/>
    <hyperlink ref="C167" r:id="rId165" xr:uid="{00000000-0004-0000-0100-0000A4000000}"/>
    <hyperlink ref="C168" r:id="rId166" xr:uid="{00000000-0004-0000-0100-0000A5000000}"/>
    <hyperlink ref="C166" r:id="rId167" display="Pengisian C/S LKO Operator End Stripping, End Stripping SD Terminal dan Shield Wire ( ESS )" xr:uid="{00000000-0004-0000-0100-0000A6000000}"/>
    <hyperlink ref="C173" r:id="rId168" xr:uid="{00000000-0004-0000-0100-0000A7000000}"/>
    <hyperlink ref="C175" r:id="rId169" xr:uid="{00000000-0004-0000-0100-0000A8000000}"/>
    <hyperlink ref="C172" r:id="rId170" xr:uid="{00000000-0004-0000-0100-0000A9000000}"/>
    <hyperlink ref="C169" r:id="rId171" xr:uid="{00000000-0004-0000-0100-0000AA000000}"/>
    <hyperlink ref="C171" r:id="rId172" xr:uid="{00000000-0004-0000-0100-0000AB000000}"/>
    <hyperlink ref="C174" r:id="rId173" xr:uid="{00000000-0004-0000-0100-0000AC000000}"/>
    <hyperlink ref="C179" r:id="rId174" display="1.8   Pengisian CS Pengisian Material Mesin Water Proof Injection" xr:uid="{00000000-0004-0000-0100-0000AD000000}"/>
    <hyperlink ref="C177" r:id="rId175" xr:uid="{00000000-0004-0000-0100-0000AE000000}"/>
    <hyperlink ref="C178" r:id="rId176" xr:uid="{00000000-0004-0000-0100-0000AF000000}"/>
    <hyperlink ref="C176" r:id="rId177" xr:uid="{00000000-0004-0000-0100-0000B0000000}"/>
    <hyperlink ref="C183" r:id="rId178" xr:uid="{00000000-0004-0000-0100-0000B1000000}"/>
    <hyperlink ref="C180" r:id="rId179" xr:uid="{00000000-0004-0000-0100-0000B2000000}"/>
    <hyperlink ref="C182" r:id="rId180" xr:uid="{00000000-0004-0000-0100-0000B3000000}"/>
    <hyperlink ref="C181" r:id="rId181" xr:uid="{00000000-0004-0000-0100-0000B4000000}"/>
    <hyperlink ref="C185" r:id="rId182" xr:uid="{00000000-0004-0000-0100-0000B5000000}"/>
    <hyperlink ref="C184" r:id="rId183" xr:uid="{00000000-0004-0000-0100-0000B6000000}"/>
    <hyperlink ref="C187" r:id="rId184" xr:uid="{00000000-0004-0000-0100-0000B7000000}"/>
    <hyperlink ref="C186" r:id="rId185" xr:uid="{00000000-0004-0000-0100-0000B8000000}"/>
    <hyperlink ref="C188" r:id="rId186" display="Control of nonconforming product" xr:uid="{00000000-0004-0000-0100-0000B9000000}"/>
    <hyperlink ref="C193" r:id="rId187" xr:uid="{00000000-0004-0000-0100-0000BA000000}"/>
    <hyperlink ref="C189" r:id="rId188" display="Pembuatan dan Pengisian Quality alert" xr:uid="{00000000-0004-0000-0100-0000BB000000}"/>
    <hyperlink ref="C192" r:id="rId189" xr:uid="{00000000-0004-0000-0100-0000BC000000}"/>
    <hyperlink ref="C191" r:id="rId190" xr:uid="{00000000-0004-0000-0100-0000BD000000}"/>
    <hyperlink ref="C190" r:id="rId191" display="Cara Pengisian Form Defective Tag" xr:uid="{00000000-0004-0000-0100-0000BE000000}"/>
    <hyperlink ref="C195" r:id="rId192" xr:uid="{00000000-0004-0000-0100-0000BF000000}"/>
    <hyperlink ref="C199" r:id="rId193" xr:uid="{00000000-0004-0000-0100-0000C0000000}"/>
    <hyperlink ref="C200" r:id="rId194" xr:uid="{00000000-0004-0000-0100-0000C1000000}"/>
    <hyperlink ref="C202" r:id="rId195" display="Finished goods storage &amp; delivery" xr:uid="{00000000-0004-0000-0100-0000C2000000}"/>
    <hyperlink ref="C203" r:id="rId196" xr:uid="{00000000-0004-0000-0100-0000C3000000}"/>
    <hyperlink ref="C197" r:id="rId197" display="Quality Notification Report" xr:uid="{00000000-0004-0000-0100-0000C4000000}"/>
    <hyperlink ref="C201" r:id="rId198" xr:uid="{00000000-0004-0000-0100-0000C5000000}"/>
    <hyperlink ref="C196" r:id="rId199" xr:uid="{00000000-0004-0000-0100-0000C6000000}"/>
    <hyperlink ref="C194" r:id="rId200" xr:uid="{00000000-0004-0000-0100-0000C7000000}"/>
    <hyperlink ref="C204" r:id="rId201" xr:uid="{00000000-0004-0000-0100-0000C8000000}"/>
    <hyperlink ref="C198" r:id="rId202" xr:uid="{00000000-0004-0000-0100-0000C9000000}"/>
    <hyperlink ref="C209" r:id="rId203" display="Perhitungan dan order kebutuhan mesin produksi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10" r:id="rId207" xr:uid="{00000000-0004-0000-0100-0000CE000000}"/>
    <hyperlink ref="C208" r:id="rId208" xr:uid="{00000000-0004-0000-0100-0000CF000000}"/>
    <hyperlink ref="C211" r:id="rId209" xr:uid="{00000000-0004-0000-0100-0000D0000000}"/>
    <hyperlink ref="C212" r:id="rId210" xr:uid="{00000000-0004-0000-0100-0000D1000000}"/>
    <hyperlink ref="C213" r:id="rId211" xr:uid="{00000000-0004-0000-0100-0000D2000000}"/>
    <hyperlink ref="C214" r:id="rId212" xr:uid="{00000000-0004-0000-0100-0000D3000000}"/>
    <hyperlink ref="C215" r:id="rId213" display="Checker Progran Validation" xr:uid="{00000000-0004-0000-0100-0000D4000000}"/>
    <hyperlink ref="C216" r:id="rId214" xr:uid="{00000000-0004-0000-0100-0000D5000000}"/>
    <hyperlink ref="C219" r:id="rId215" xr:uid="{00000000-0004-0000-0100-0000D6000000}"/>
    <hyperlink ref="C217" r:id="rId216" xr:uid="{00000000-0004-0000-0100-0000D7000000}"/>
    <hyperlink ref="C224" r:id="rId217" xr:uid="{00000000-0004-0000-0100-0000D8000000}"/>
    <hyperlink ref="C228" r:id="rId218" xr:uid="{00000000-0004-0000-0100-0000D9000000}"/>
    <hyperlink ref="C225" r:id="rId219" xr:uid="{00000000-0004-0000-0100-0000DA000000}"/>
    <hyperlink ref="C227" r:id="rId220" xr:uid="{00000000-0004-0000-0100-0000DB000000}"/>
    <hyperlink ref="C223" r:id="rId221" xr:uid="{00000000-0004-0000-0100-0000DC000000}"/>
    <hyperlink ref="C226" r:id="rId222" xr:uid="{00000000-0004-0000-0100-0000DD000000}"/>
    <hyperlink ref="C221" r:id="rId223" xr:uid="{00000000-0004-0000-0100-0000DE000000}"/>
    <hyperlink ref="C222" r:id="rId224" xr:uid="{00000000-0004-0000-0100-0000DF000000}"/>
    <hyperlink ref="C218" r:id="rId225" xr:uid="{00000000-0004-0000-0100-0000E0000000}"/>
    <hyperlink ref="C220" r:id="rId226" xr:uid="{00000000-0004-0000-0100-0000E1000000}"/>
    <hyperlink ref="C231" r:id="rId227" xr:uid="{00000000-0004-0000-0100-0000E2000000}"/>
    <hyperlink ref="C229" r:id="rId228" xr:uid="{00000000-0004-0000-0100-0000E3000000}"/>
    <hyperlink ref="C230" r:id="rId229" xr:uid="{00000000-0004-0000-0100-0000E4000000}"/>
    <hyperlink ref="C232" r:id="rId230" xr:uid="{00000000-0004-0000-0100-0000E5000000}"/>
    <hyperlink ref="C233" r:id="rId231" xr:uid="{00000000-0004-0000-0100-0000E6000000}"/>
    <hyperlink ref="C239" r:id="rId232" xr:uid="{00000000-0004-0000-0100-0000E7000000}"/>
    <hyperlink ref="C243" r:id="rId233" display="Pelaksanaan  Evaluasi Preventive Maintenance Mesin produksi" xr:uid="{00000000-0004-0000-0100-0000E8000000}"/>
    <hyperlink ref="C234" r:id="rId234" display="Sistem Informasi perubahan posisi aplicator" xr:uid="{00000000-0004-0000-0100-0000E9000000}"/>
    <hyperlink ref="C242" r:id="rId235" display="Penanganan Kerusakan pada Mesin Produksi" xr:uid="{00000000-0004-0000-0100-0000EA000000}"/>
    <hyperlink ref="C235" r:id="rId236" xr:uid="{00000000-0004-0000-0100-0000EB000000}"/>
    <hyperlink ref="C237" r:id="rId237" xr:uid="{00000000-0004-0000-0100-0000EC000000}"/>
    <hyperlink ref="C238" r:id="rId238" xr:uid="{00000000-0004-0000-0100-0000ED000000}"/>
    <hyperlink ref="C236" r:id="rId239" xr:uid="{00000000-0004-0000-0100-0000EE000000}"/>
    <hyperlink ref="C240" r:id="rId240" xr:uid="{00000000-0004-0000-0100-0000EF000000}"/>
    <hyperlink ref="C244" r:id="rId241" xr:uid="{00000000-0004-0000-0100-0000F0000000}"/>
    <hyperlink ref="C241" r:id="rId242" xr:uid="{00000000-0004-0000-0100-0000F1000000}"/>
    <hyperlink ref="C253" r:id="rId243" xr:uid="{00000000-0004-0000-0100-0000F2000000}"/>
    <hyperlink ref="C247" r:id="rId244" xr:uid="{00000000-0004-0000-0100-0000F3000000}"/>
    <hyperlink ref="C245" r:id="rId245" xr:uid="{00000000-0004-0000-0100-0000F4000000}"/>
    <hyperlink ref="C246" r:id="rId246" xr:uid="{00000000-0004-0000-0100-0000F5000000}"/>
    <hyperlink ref="C252" r:id="rId247" xr:uid="{00000000-0004-0000-0100-0000F6000000}"/>
    <hyperlink ref="C248" r:id="rId248" xr:uid="{00000000-0004-0000-0100-0000F7000000}"/>
    <hyperlink ref="C251" r:id="rId249" xr:uid="{00000000-0004-0000-0100-0000F8000000}"/>
    <hyperlink ref="C250" r:id="rId250" xr:uid="{00000000-0004-0000-0100-0000F9000000}"/>
    <hyperlink ref="C249" r:id="rId251" xr:uid="{00000000-0004-0000-0100-0000FA000000}"/>
    <hyperlink ref="C254" r:id="rId252" xr:uid="{00000000-0004-0000-0100-0000FB000000}"/>
    <hyperlink ref="H180" r:id="rId253" display="david.a@jai.co.id" xr:uid="{00000000-0004-0000-0100-0000FC000000}"/>
    <hyperlink ref="H253" r:id="rId254" display="david.a@jai.co.id" xr:uid="{00000000-0004-0000-0100-0000FD000000}"/>
    <hyperlink ref="K73" r:id="rId255" xr:uid="{00000000-0004-0000-0100-0000FE000000}"/>
    <hyperlink ref="K90:K94" r:id="rId256" display="evaningsih@jai.co.id" xr:uid="{00000000-0004-0000-0100-0000FF000000}"/>
    <hyperlink ref="K97:K99" r:id="rId257" display="evaningsih@jai.co.id" xr:uid="{00000000-0004-0000-0100-000000010000}"/>
    <hyperlink ref="K101" r:id="rId258" xr:uid="{00000000-0004-0000-0100-000001010000}"/>
    <hyperlink ref="K205:K207" r:id="rId259" display="evaningsih@jai.co.id" xr:uid="{00000000-0004-0000-0100-000002010000}"/>
    <hyperlink ref="N73" r:id="rId260" xr:uid="{00000000-0004-0000-0100-000003010000}"/>
    <hyperlink ref="N90:N94" r:id="rId261" display="dedi.k@jai.co.id" xr:uid="{00000000-0004-0000-0100-000004010000}"/>
    <hyperlink ref="N97:N99" r:id="rId262" display="dedi.k@jai.co.id" xr:uid="{00000000-0004-0000-0100-000005010000}"/>
    <hyperlink ref="N101" r:id="rId263" xr:uid="{00000000-0004-0000-0100-000006010000}"/>
    <hyperlink ref="N205:N207" r:id="rId264" display="dedi.k@jai.co.id" xr:uid="{00000000-0004-0000-0100-000007010000}"/>
    <hyperlink ref="H73" r:id="rId265" display="ira.a@jai.co.id" xr:uid="{00000000-0004-0000-0100-000008010000}"/>
    <hyperlink ref="H90:H94" r:id="rId266" display="ira.a@jai.co.id" xr:uid="{00000000-0004-0000-0100-000009010000}"/>
    <hyperlink ref="H97:H99" r:id="rId267" display="ira.a@jai.co.id" xr:uid="{00000000-0004-0000-0100-00000A010000}"/>
    <hyperlink ref="H101" r:id="rId268" display="ira.a@jai.co.id" xr:uid="{00000000-0004-0000-0100-00000B010000}"/>
    <hyperlink ref="H205:H207" r:id="rId269" display="ira.a@jai.co.id" xr:uid="{00000000-0004-0000-0100-00000C010000}"/>
    <hyperlink ref="K8" r:id="rId270" xr:uid="{00000000-0004-0000-0100-00000D010000}"/>
    <hyperlink ref="K135" r:id="rId271" xr:uid="{00000000-0004-0000-0100-00000E010000}"/>
    <hyperlink ref="K146" r:id="rId272" xr:uid="{00000000-0004-0000-0100-00000F010000}"/>
    <hyperlink ref="K148:K153" r:id="rId273" display="endang.s@jai.co.id" xr:uid="{00000000-0004-0000-0100-000010010000}"/>
    <hyperlink ref="K157:K158" r:id="rId274" display="endang.s@jai.co.id" xr:uid="{00000000-0004-0000-0100-000011010000}"/>
    <hyperlink ref="K161:K163" r:id="rId275" display="endang.s@jai.co.id" xr:uid="{00000000-0004-0000-0100-000012010000}"/>
    <hyperlink ref="K165:K166" r:id="rId276" display="endang.s@jai.co.id" xr:uid="{00000000-0004-0000-0100-000013010000}"/>
    <hyperlink ref="K169" r:id="rId277" xr:uid="{00000000-0004-0000-0100-000014010000}"/>
    <hyperlink ref="K171:K173" r:id="rId278" display="endang.s@jai.co.id" xr:uid="{00000000-0004-0000-0100-000015010000}"/>
    <hyperlink ref="K176" r:id="rId279" xr:uid="{00000000-0004-0000-0100-000016010000}"/>
    <hyperlink ref="K178:K179" r:id="rId280" display="endang.s@jai.co.id" xr:uid="{00000000-0004-0000-0100-000017010000}"/>
    <hyperlink ref="K181:K184" r:id="rId281" display="endang.s@jai.co.id" xr:uid="{00000000-0004-0000-0100-000018010000}"/>
    <hyperlink ref="K186:K187" r:id="rId282" display="endang.s@jai.co.id" xr:uid="{00000000-0004-0000-0100-000019010000}"/>
    <hyperlink ref="K213" r:id="rId283" xr:uid="{00000000-0004-0000-0100-00001A010000}"/>
    <hyperlink ref="H176" r:id="rId284" display="binti.s@jai.co.id" xr:uid="{00000000-0004-0000-0100-00001B010000}"/>
    <hyperlink ref="H178:H179" r:id="rId285" display="binti.s@jai.co.id" xr:uid="{00000000-0004-0000-0100-00001C010000}"/>
    <hyperlink ref="H181:H184" r:id="rId286" display="binti.s@jai.co.id" xr:uid="{00000000-0004-0000-0100-00001D010000}"/>
    <hyperlink ref="H186:H187" r:id="rId287" display="binti.s@jai.co.id" xr:uid="{00000000-0004-0000-0100-00001E010000}"/>
    <hyperlink ref="H213" r:id="rId288" display="binti.s@jai.co.id" xr:uid="{00000000-0004-0000-0100-00001F010000}"/>
    <hyperlink ref="H8" r:id="rId289" display="binti.s@jai.co.id" xr:uid="{00000000-0004-0000-0100-000020010000}"/>
    <hyperlink ref="H135" r:id="rId290" display="binti.s@jai.co.id" xr:uid="{00000000-0004-0000-0100-000021010000}"/>
    <hyperlink ref="H118" r:id="rId291" display="ferry.i@jai.co.id,_x000a_" xr:uid="{00000000-0004-0000-0100-000022010000}"/>
    <hyperlink ref="H124" r:id="rId292" display="ferry.i@jai.co.id,_x000a_" xr:uid="{00000000-0004-0000-0100-000023010000}"/>
    <hyperlink ref="H129" r:id="rId293" display="ferry.i@jai.co.id,_x000a_" xr:uid="{00000000-0004-0000-0100-000024010000}"/>
    <hyperlink ref="H132:H133" r:id="rId294" display="ferry.i@jai.co.id,_x000a_" xr:uid="{00000000-0004-0000-0100-000025010000}"/>
    <hyperlink ref="H136" r:id="rId295" display="ferry.i@jai.co.id,_x000a_" xr:uid="{00000000-0004-0000-0100-000026010000}"/>
    <hyperlink ref="H140" r:id="rId296" display="ferry.i@jai.co.id,_x000a_" xr:uid="{00000000-0004-0000-0100-000027010000}"/>
    <hyperlink ref="H230" r:id="rId297" xr:uid="{00000000-0004-0000-0100-000028010000}"/>
    <hyperlink ref="H228" r:id="rId298" display="tatag.k@jai.co.id,david.a@jai.co.id" xr:uid="{00000000-0004-0000-0100-000029010000}"/>
    <hyperlink ref="H244" r:id="rId299" display="tatag.k@jai.co.id,david.a@jai.co.id" xr:uid="{00000000-0004-0000-0100-00002A010000}"/>
    <hyperlink ref="H238" r:id="rId300" display="andik.e@jai.co.id" xr:uid="{00000000-0004-0000-0100-00002B010000}"/>
    <hyperlink ref="H10" r:id="rId301" display="andik.e@jai.co.id" xr:uid="{00000000-0004-0000-0100-00002C010000}"/>
    <hyperlink ref="H15" r:id="rId302" display="andik.e@jai.co.id" xr:uid="{00000000-0004-0000-0100-00002D010000}"/>
    <hyperlink ref="H17" r:id="rId303" display="andik.e@jai.co.id" xr:uid="{00000000-0004-0000-0100-00002E010000}"/>
    <hyperlink ref="H20" r:id="rId304" display="andik.e@jai.co.id" xr:uid="{00000000-0004-0000-0100-00002F010000}"/>
    <hyperlink ref="H22" r:id="rId305" display="andik.e@jai.co.id" xr:uid="{00000000-0004-0000-0100-000030010000}"/>
    <hyperlink ref="H36" r:id="rId306" display="andik.e@jai.co.id" xr:uid="{00000000-0004-0000-0100-000031010000}"/>
    <hyperlink ref="H38" r:id="rId307" display="andik.e@jai.co.id" xr:uid="{00000000-0004-0000-0100-000032010000}"/>
    <hyperlink ref="H62:H63" r:id="rId308" display="andik.e@jai.co.id" xr:uid="{00000000-0004-0000-0100-000033010000}"/>
    <hyperlink ref="H65" r:id="rId309" display="andik.e@jai.co.id" xr:uid="{00000000-0004-0000-0100-000034010000}"/>
    <hyperlink ref="H68:H69" r:id="rId310" display="andik.e@jai.co.id" xr:uid="{00000000-0004-0000-0100-000035010000}"/>
    <hyperlink ref="H86:H87" r:id="rId311" display="andik.e@jai.co.id" xr:uid="{00000000-0004-0000-0100-000036010000}"/>
    <hyperlink ref="H142" r:id="rId312" display="andik.e@jai.co.id" xr:uid="{00000000-0004-0000-0100-000037010000}"/>
    <hyperlink ref="H144:H145" r:id="rId313" display="andik.e@jai.co.id" xr:uid="{00000000-0004-0000-0100-000038010000}"/>
    <hyperlink ref="H160" r:id="rId314" display="andik.e@jai.co.id" xr:uid="{00000000-0004-0000-0100-000039010000}"/>
    <hyperlink ref="H167" r:id="rId315" display="andik.e@jai.co.id" xr:uid="{00000000-0004-0000-0100-00003A010000}"/>
    <hyperlink ref="H170" r:id="rId316" display="andik.e@jai.co.id" xr:uid="{00000000-0004-0000-0100-00003B010000}"/>
    <hyperlink ref="H177" r:id="rId317" display="andik.e@jai.co.id" xr:uid="{00000000-0004-0000-0100-00003C010000}"/>
    <hyperlink ref="H188:H189" r:id="rId318" display="andik.e@jai.co.id" xr:uid="{00000000-0004-0000-0100-00003D010000}"/>
    <hyperlink ref="H191:H194" r:id="rId319" display="andik.e@jai.co.id" xr:uid="{00000000-0004-0000-0100-00003E010000}"/>
    <hyperlink ref="H196:H197" r:id="rId320" display="andik.e@jai.co.id" xr:uid="{00000000-0004-0000-0100-00003F010000}"/>
    <hyperlink ref="H217:H218" r:id="rId321" display="andik.e@jai.co.id" xr:uid="{00000000-0004-0000-0100-000040010000}"/>
    <hyperlink ref="H236:H237" r:id="rId322" display="andik.e@jai.co.id" xr:uid="{00000000-0004-0000-0100-000041010000}"/>
    <hyperlink ref="H235" r:id="rId323" xr:uid="{00000000-0004-0000-0100-000042010000}"/>
    <hyperlink ref="H216" r:id="rId324" display="yachrul.h@jai.co.id,_x000a_" xr:uid="{00000000-0004-0000-0100-000043010000}"/>
    <hyperlink ref="H245" r:id="rId325" display="yachrul.h@jai.co.id,_x000a_" xr:uid="{00000000-0004-0000-0100-000044010000}"/>
    <hyperlink ref="H248" r:id="rId326" display="yachrul.h@jai.co.id,_x000a_" xr:uid="{00000000-0004-0000-0100-000045010000}"/>
    <hyperlink ref="Q141" r:id="rId327" display="andik.e@jai.co.id" xr:uid="{00000000-0004-0000-0100-000046010000}"/>
    <hyperlink ref="Q143" r:id="rId328" display="andik.e@jai.co.id" xr:uid="{00000000-0004-0000-0100-000047010000}"/>
    <hyperlink ref="Q147" r:id="rId329" display="andik.e@jai.co.id" xr:uid="{00000000-0004-0000-0100-000048010000}"/>
    <hyperlink ref="Q154" r:id="rId330" display="andik.e@jai.co.id" xr:uid="{00000000-0004-0000-0100-000049010000}"/>
    <hyperlink ref="Q155" r:id="rId331" display="andik.e@jai.co.id" xr:uid="{00000000-0004-0000-0100-00004A010000}"/>
    <hyperlink ref="Q156" r:id="rId332" display="andik.e@jai.co.id" xr:uid="{00000000-0004-0000-0100-00004B010000}"/>
    <hyperlink ref="Q164" r:id="rId333" display="andik.e@jai.co.id" xr:uid="{00000000-0004-0000-0100-00004C010000}"/>
    <hyperlink ref="Q168" r:id="rId334" display="andik.e@jai.co.id" xr:uid="{00000000-0004-0000-0100-00004D010000}"/>
    <hyperlink ref="Q174" r:id="rId335" display="andik.e@jai.co.id" xr:uid="{00000000-0004-0000-0100-00004E010000}"/>
    <hyperlink ref="Q175" r:id="rId336" display="andik.e@jai.co.id" xr:uid="{00000000-0004-0000-0100-00004F010000}"/>
    <hyperlink ref="Q185" r:id="rId337" display="andik.e@jai.co.id" xr:uid="{00000000-0004-0000-0100-000050010000}"/>
    <hyperlink ref="Q190" r:id="rId338" display="andik.e@jai.co.id" xr:uid="{00000000-0004-0000-0100-000051010000}"/>
    <hyperlink ref="Q195" r:id="rId339" display="andik.e@jai.co.id" xr:uid="{00000000-0004-0000-0100-000052010000}"/>
    <hyperlink ref="K174" r:id="rId340" xr:uid="{00000000-0004-0000-0100-000053010000}"/>
    <hyperlink ref="K175" r:id="rId341" xr:uid="{00000000-0004-0000-0100-000054010000}"/>
    <hyperlink ref="H174" r:id="rId342" display="binti.s@jai.co.id" xr:uid="{00000000-0004-0000-0100-000055010000}"/>
    <hyperlink ref="H175" r:id="rId343" display="binti.s@jai.co.id" xr:uid="{00000000-0004-0000-0100-000056010000}"/>
    <hyperlink ref="K185" r:id="rId344" xr:uid="{00000000-0004-0000-0100-000057010000}"/>
    <hyperlink ref="H185" r:id="rId345" display="binti.s@jai.co.id" xr:uid="{00000000-0004-0000-0100-000058010000}"/>
    <hyperlink ref="K190" r:id="rId346" xr:uid="{00000000-0004-0000-0100-000059010000}"/>
    <hyperlink ref="H190" r:id="rId347" display="binti.s@jai.co.id" xr:uid="{00000000-0004-0000-0100-00005A010000}"/>
    <hyperlink ref="K195" r:id="rId348" xr:uid="{00000000-0004-0000-0100-00005B010000}"/>
    <hyperlink ref="H195" r:id="rId349" display="binti.s@jai.co.id" xr:uid="{00000000-0004-0000-0100-00005C010000}"/>
    <hyperlink ref="Q180" r:id="rId350" display="andik.e@jai.co.id" xr:uid="{00000000-0004-0000-0100-00005D010000}"/>
    <hyperlink ref="Q253" r:id="rId351" display="andik.e@jai.co.id" xr:uid="{00000000-0004-0000-0100-00005E010000}"/>
    <hyperlink ref="K219" r:id="rId352" xr:uid="{00000000-0004-0000-0100-00005F010000}"/>
    <hyperlink ref="K220" r:id="rId353" xr:uid="{00000000-0004-0000-0100-000060010000}"/>
    <hyperlink ref="K221" r:id="rId354" xr:uid="{00000000-0004-0000-0100-000061010000}"/>
    <hyperlink ref="K225" r:id="rId355" xr:uid="{00000000-0004-0000-0100-000062010000}"/>
    <hyperlink ref="N219" r:id="rId356" xr:uid="{00000000-0004-0000-0100-000063010000}"/>
    <hyperlink ref="N220:N221" r:id="rId357" display="cahyo@jai.co.id" xr:uid="{00000000-0004-0000-0100-000064010000}"/>
    <hyperlink ref="N225" r:id="rId358" xr:uid="{00000000-0004-0000-0100-000065010000}"/>
    <hyperlink ref="K222" r:id="rId359" xr:uid="{00000000-0004-0000-0100-000066010000}"/>
    <hyperlink ref="N222" r:id="rId360" xr:uid="{00000000-0004-0000-0100-000067010000}"/>
    <hyperlink ref="K239" r:id="rId361" xr:uid="{00000000-0004-0000-0100-000068010000}"/>
    <hyperlink ref="N239" r:id="rId362" xr:uid="{00000000-0004-0000-0100-000069010000}"/>
  </hyperlinks>
  <pageMargins left="0" right="0" top="0.25" bottom="0" header="0.3" footer="0.3"/>
  <pageSetup paperSize="9" scale="40" orientation="portrait" horizontalDpi="4294967294" r:id="rId363"/>
  <colBreaks count="1" manualBreakCount="1">
    <brk id="16" max="253" man="1"/>
  </colBreaks>
  <drawing r:id="rId364"/>
  <legacyDrawing r:id="rId36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tabSelected="1" topLeftCell="A40" workbookViewId="0">
      <selection activeCell="N22" sqref="N22"/>
    </sheetView>
  </sheetViews>
  <sheetFormatPr defaultRowHeight="14.5" x14ac:dyDescent="0.35"/>
  <cols>
    <col min="1" max="1" width="7.26953125" customWidth="1"/>
    <col min="2" max="2" width="14" customWidth="1"/>
    <col min="3" max="3" width="20.81640625" bestFit="1" customWidth="1"/>
    <col min="4" max="4" width="24.26953125" bestFit="1" customWidth="1"/>
    <col min="5" max="5" width="24.26953125" customWidth="1"/>
    <col min="6" max="6" width="14" customWidth="1"/>
    <col min="7" max="9" width="14" hidden="1" customWidth="1"/>
    <col min="10" max="10" width="0" hidden="1" customWidth="1"/>
    <col min="11" max="11" width="29.453125" hidden="1" customWidth="1"/>
    <col min="12" max="13" width="22.26953125" hidden="1" customWidth="1"/>
  </cols>
  <sheetData>
    <row r="1" spans="1:13" x14ac:dyDescent="0.35">
      <c r="A1" s="71" t="s">
        <v>0</v>
      </c>
      <c r="B1" s="72" t="s">
        <v>5</v>
      </c>
      <c r="C1" s="71" t="s">
        <v>781</v>
      </c>
      <c r="D1" s="71" t="s">
        <v>782</v>
      </c>
      <c r="E1" s="71" t="s">
        <v>681</v>
      </c>
      <c r="F1" s="73"/>
      <c r="G1" s="72" t="s">
        <v>6</v>
      </c>
      <c r="H1" s="72" t="s">
        <v>7</v>
      </c>
      <c r="I1" s="72" t="s">
        <v>8</v>
      </c>
      <c r="K1" s="72" t="s">
        <v>6</v>
      </c>
      <c r="L1" s="72" t="s">
        <v>7</v>
      </c>
      <c r="M1" s="72" t="s">
        <v>8</v>
      </c>
    </row>
    <row r="2" spans="1:13" x14ac:dyDescent="0.35">
      <c r="A2" s="74">
        <v>1</v>
      </c>
      <c r="B2" s="75" t="s">
        <v>212</v>
      </c>
      <c r="C2" s="76" t="s">
        <v>213</v>
      </c>
      <c r="D2" s="77" t="s">
        <v>783</v>
      </c>
      <c r="E2" s="77" t="s">
        <v>720</v>
      </c>
      <c r="F2" s="78"/>
      <c r="G2" s="79" t="s">
        <v>592</v>
      </c>
      <c r="H2" s="79" t="s">
        <v>602</v>
      </c>
      <c r="I2" s="79" t="s">
        <v>784</v>
      </c>
      <c r="K2" s="79" t="s">
        <v>556</v>
      </c>
      <c r="L2" s="79" t="s">
        <v>351</v>
      </c>
      <c r="M2" s="79" t="s">
        <v>71</v>
      </c>
    </row>
    <row r="3" spans="1:13" x14ac:dyDescent="0.35">
      <c r="A3" s="80">
        <v>2</v>
      </c>
      <c r="B3" s="81" t="s">
        <v>599</v>
      </c>
      <c r="C3" s="82" t="s">
        <v>70</v>
      </c>
      <c r="D3" s="83" t="s">
        <v>785</v>
      </c>
      <c r="E3" s="83" t="s">
        <v>763</v>
      </c>
      <c r="F3" s="78"/>
      <c r="G3" s="84" t="s">
        <v>212</v>
      </c>
      <c r="H3" s="84" t="s">
        <v>786</v>
      </c>
      <c r="I3" s="84" t="s">
        <v>786</v>
      </c>
      <c r="K3" s="84" t="s">
        <v>213</v>
      </c>
      <c r="L3" s="84" t="s">
        <v>155</v>
      </c>
      <c r="M3" s="84" t="s">
        <v>155</v>
      </c>
    </row>
    <row r="4" spans="1:13" x14ac:dyDescent="0.35">
      <c r="A4" s="80">
        <v>3</v>
      </c>
      <c r="B4" s="81" t="s">
        <v>787</v>
      </c>
      <c r="C4" s="85" t="s">
        <v>788</v>
      </c>
      <c r="D4" s="83" t="s">
        <v>789</v>
      </c>
      <c r="E4" s="83" t="s">
        <v>698</v>
      </c>
      <c r="F4" s="78"/>
      <c r="G4" s="84" t="s">
        <v>787</v>
      </c>
      <c r="H4" s="110" t="s">
        <v>42</v>
      </c>
      <c r="I4" s="110" t="s">
        <v>790</v>
      </c>
      <c r="K4" s="84" t="s">
        <v>788</v>
      </c>
      <c r="L4" s="110" t="s">
        <v>44</v>
      </c>
      <c r="M4" s="110" t="s">
        <v>45</v>
      </c>
    </row>
    <row r="5" spans="1:13" x14ac:dyDescent="0.35">
      <c r="A5" s="80">
        <v>4</v>
      </c>
      <c r="B5" s="81" t="s">
        <v>540</v>
      </c>
      <c r="C5" s="82" t="s">
        <v>541</v>
      </c>
      <c r="D5" s="83" t="s">
        <v>791</v>
      </c>
      <c r="E5" s="83" t="s">
        <v>757</v>
      </c>
      <c r="F5" s="78"/>
      <c r="G5" s="84" t="s">
        <v>792</v>
      </c>
      <c r="H5" s="110"/>
      <c r="I5" s="110"/>
      <c r="K5" s="84" t="s">
        <v>793</v>
      </c>
      <c r="L5" s="110" t="e">
        <v>#N/A</v>
      </c>
      <c r="M5" s="110" t="e">
        <v>#N/A</v>
      </c>
    </row>
    <row r="6" spans="1:13" x14ac:dyDescent="0.35">
      <c r="A6" s="80">
        <v>5</v>
      </c>
      <c r="B6" s="81" t="s">
        <v>113</v>
      </c>
      <c r="C6" s="82" t="s">
        <v>101</v>
      </c>
      <c r="D6" s="83" t="s">
        <v>794</v>
      </c>
      <c r="E6" s="83" t="s">
        <v>707</v>
      </c>
      <c r="F6" s="78"/>
      <c r="G6" s="84" t="s">
        <v>795</v>
      </c>
      <c r="H6" s="110"/>
      <c r="I6" s="110"/>
      <c r="K6" s="84" t="s">
        <v>796</v>
      </c>
      <c r="L6" s="110" t="e">
        <v>#N/A</v>
      </c>
      <c r="M6" s="110" t="e">
        <v>#N/A</v>
      </c>
    </row>
    <row r="7" spans="1:13" x14ac:dyDescent="0.35">
      <c r="A7" s="80">
        <v>6</v>
      </c>
      <c r="B7" s="81" t="s">
        <v>288</v>
      </c>
      <c r="C7" s="85" t="s">
        <v>289</v>
      </c>
      <c r="D7" s="83" t="s">
        <v>797</v>
      </c>
      <c r="E7" s="83" t="s">
        <v>732</v>
      </c>
      <c r="F7" s="78"/>
      <c r="G7" s="84" t="s">
        <v>599</v>
      </c>
      <c r="H7" s="84" t="s">
        <v>784</v>
      </c>
      <c r="I7" s="84" t="s">
        <v>784</v>
      </c>
      <c r="K7" s="84" t="s">
        <v>70</v>
      </c>
      <c r="L7" s="84" t="s">
        <v>71</v>
      </c>
      <c r="M7" s="84" t="s">
        <v>71</v>
      </c>
    </row>
    <row r="8" spans="1:13" x14ac:dyDescent="0.35">
      <c r="A8" s="80">
        <v>7</v>
      </c>
      <c r="B8" s="81" t="s">
        <v>592</v>
      </c>
      <c r="C8" s="82" t="s">
        <v>556</v>
      </c>
      <c r="D8" s="83" t="s">
        <v>798</v>
      </c>
      <c r="E8" s="83" t="s">
        <v>762</v>
      </c>
      <c r="F8" s="78"/>
      <c r="G8" s="84" t="s">
        <v>540</v>
      </c>
      <c r="H8" s="84" t="s">
        <v>799</v>
      </c>
      <c r="I8" s="84" t="s">
        <v>799</v>
      </c>
      <c r="K8" s="84" t="s">
        <v>541</v>
      </c>
      <c r="L8" s="84" t="s">
        <v>331</v>
      </c>
      <c r="M8" s="84" t="s">
        <v>331</v>
      </c>
    </row>
    <row r="9" spans="1:13" x14ac:dyDescent="0.35">
      <c r="A9" s="80">
        <v>8</v>
      </c>
      <c r="B9" s="81" t="s">
        <v>78</v>
      </c>
      <c r="C9" s="82" t="s">
        <v>79</v>
      </c>
      <c r="D9" s="83" t="s">
        <v>800</v>
      </c>
      <c r="E9" s="83" t="s">
        <v>698</v>
      </c>
      <c r="F9" s="78"/>
      <c r="G9" s="84" t="s">
        <v>113</v>
      </c>
      <c r="H9" s="84" t="s">
        <v>784</v>
      </c>
      <c r="I9" s="84" t="s">
        <v>784</v>
      </c>
      <c r="K9" s="84" t="s">
        <v>101</v>
      </c>
      <c r="L9" s="84" t="s">
        <v>71</v>
      </c>
      <c r="M9" s="84" t="s">
        <v>71</v>
      </c>
    </row>
    <row r="10" spans="1:13" x14ac:dyDescent="0.35">
      <c r="A10" s="80">
        <v>9</v>
      </c>
      <c r="B10" s="81" t="s">
        <v>801</v>
      </c>
      <c r="C10" s="85" t="s">
        <v>802</v>
      </c>
      <c r="D10" s="83" t="s">
        <v>803</v>
      </c>
      <c r="E10" s="83" t="s">
        <v>732</v>
      </c>
      <c r="F10" s="78"/>
      <c r="G10" s="84" t="s">
        <v>288</v>
      </c>
      <c r="H10" s="84" t="s">
        <v>231</v>
      </c>
      <c r="I10" s="84" t="s">
        <v>804</v>
      </c>
      <c r="K10" s="84" t="s">
        <v>289</v>
      </c>
      <c r="L10" s="84" t="s">
        <v>233</v>
      </c>
      <c r="M10" s="84" t="s">
        <v>234</v>
      </c>
    </row>
    <row r="11" spans="1:13" x14ac:dyDescent="0.35">
      <c r="A11" s="80">
        <v>10</v>
      </c>
      <c r="B11" s="81" t="s">
        <v>805</v>
      </c>
      <c r="C11" s="85" t="s">
        <v>806</v>
      </c>
      <c r="D11" s="83" t="s">
        <v>807</v>
      </c>
      <c r="E11" s="83" t="s">
        <v>689</v>
      </c>
      <c r="F11" s="78"/>
      <c r="G11" s="84" t="s">
        <v>78</v>
      </c>
      <c r="H11" s="84" t="s">
        <v>42</v>
      </c>
      <c r="I11" s="84" t="s">
        <v>790</v>
      </c>
      <c r="K11" s="84" t="s">
        <v>79</v>
      </c>
      <c r="L11" s="84" t="s">
        <v>44</v>
      </c>
      <c r="M11" s="84" t="s">
        <v>45</v>
      </c>
    </row>
    <row r="12" spans="1:13" x14ac:dyDescent="0.35">
      <c r="A12" s="80">
        <v>11</v>
      </c>
      <c r="B12" s="81" t="s">
        <v>195</v>
      </c>
      <c r="C12" s="82" t="s">
        <v>196</v>
      </c>
      <c r="D12" s="83" t="s">
        <v>808</v>
      </c>
      <c r="E12" s="83" t="s">
        <v>702</v>
      </c>
      <c r="F12" s="78"/>
      <c r="G12" s="84" t="s">
        <v>809</v>
      </c>
      <c r="H12" s="109" t="s">
        <v>231</v>
      </c>
      <c r="I12" s="109" t="s">
        <v>804</v>
      </c>
      <c r="K12" s="84" t="s">
        <v>810</v>
      </c>
      <c r="L12" s="109" t="s">
        <v>233</v>
      </c>
      <c r="M12" s="109" t="s">
        <v>234</v>
      </c>
    </row>
    <row r="13" spans="1:13" x14ac:dyDescent="0.35">
      <c r="A13" s="80">
        <v>12</v>
      </c>
      <c r="B13" s="81" t="s">
        <v>811</v>
      </c>
      <c r="C13" s="82" t="s">
        <v>493</v>
      </c>
      <c r="D13" s="83" t="s">
        <v>812</v>
      </c>
      <c r="E13" s="83" t="s">
        <v>752</v>
      </c>
      <c r="F13" s="78"/>
      <c r="G13" s="84" t="s">
        <v>801</v>
      </c>
      <c r="H13" s="109"/>
      <c r="I13" s="109"/>
      <c r="K13" s="84" t="s">
        <v>802</v>
      </c>
      <c r="L13" s="109" t="e">
        <v>#N/A</v>
      </c>
      <c r="M13" s="109" t="e">
        <v>#N/A</v>
      </c>
    </row>
    <row r="14" spans="1:13" x14ac:dyDescent="0.35">
      <c r="A14" s="80">
        <v>13</v>
      </c>
      <c r="B14" s="81" t="s">
        <v>813</v>
      </c>
      <c r="C14" s="85" t="s">
        <v>814</v>
      </c>
      <c r="D14" s="83" t="s">
        <v>815</v>
      </c>
      <c r="E14" s="83" t="s">
        <v>766</v>
      </c>
      <c r="F14" s="78"/>
      <c r="G14" s="84" t="s">
        <v>805</v>
      </c>
      <c r="H14" s="109" t="s">
        <v>31</v>
      </c>
      <c r="I14" s="109" t="s">
        <v>816</v>
      </c>
      <c r="K14" s="84" t="s">
        <v>806</v>
      </c>
      <c r="L14" s="109" t="s">
        <v>33</v>
      </c>
      <c r="M14" s="109" t="s">
        <v>34</v>
      </c>
    </row>
    <row r="15" spans="1:13" x14ac:dyDescent="0.35">
      <c r="A15" s="80">
        <v>14</v>
      </c>
      <c r="B15" s="81" t="s">
        <v>646</v>
      </c>
      <c r="C15" s="82" t="s">
        <v>647</v>
      </c>
      <c r="D15" s="83" t="s">
        <v>817</v>
      </c>
      <c r="E15" s="83" t="s">
        <v>757</v>
      </c>
      <c r="F15" s="78"/>
      <c r="G15" s="84" t="s">
        <v>818</v>
      </c>
      <c r="H15" s="109"/>
      <c r="I15" s="109"/>
      <c r="K15" s="84" t="s">
        <v>819</v>
      </c>
      <c r="L15" s="109" t="e">
        <v>#N/A</v>
      </c>
      <c r="M15" s="109" t="e">
        <v>#N/A</v>
      </c>
    </row>
    <row r="16" spans="1:13" x14ac:dyDescent="0.35">
      <c r="A16" s="80">
        <v>15</v>
      </c>
      <c r="B16" s="81" t="s">
        <v>307</v>
      </c>
      <c r="C16" s="82" t="s">
        <v>308</v>
      </c>
      <c r="D16" s="83" t="s">
        <v>820</v>
      </c>
      <c r="E16" s="83" t="s">
        <v>735</v>
      </c>
      <c r="F16" s="78"/>
      <c r="G16" s="84" t="s">
        <v>195</v>
      </c>
      <c r="H16" s="84" t="s">
        <v>821</v>
      </c>
      <c r="I16" s="84" t="s">
        <v>821</v>
      </c>
      <c r="K16" s="84" t="s">
        <v>196</v>
      </c>
      <c r="L16" s="84" t="s">
        <v>90</v>
      </c>
      <c r="M16" s="84" t="s">
        <v>90</v>
      </c>
    </row>
    <row r="17" spans="1:13" x14ac:dyDescent="0.35">
      <c r="A17" s="80">
        <v>16</v>
      </c>
      <c r="B17" s="81" t="s">
        <v>328</v>
      </c>
      <c r="C17" s="85" t="s">
        <v>329</v>
      </c>
      <c r="D17" s="83" t="s">
        <v>822</v>
      </c>
      <c r="E17" s="83" t="s">
        <v>737</v>
      </c>
      <c r="F17" s="78"/>
      <c r="G17" s="84" t="s">
        <v>813</v>
      </c>
      <c r="H17" s="84" t="s">
        <v>811</v>
      </c>
      <c r="I17" s="84" t="s">
        <v>823</v>
      </c>
      <c r="K17" s="86" t="s">
        <v>814</v>
      </c>
      <c r="L17" s="84" t="s">
        <v>493</v>
      </c>
      <c r="M17" s="84" t="s">
        <v>494</v>
      </c>
    </row>
    <row r="18" spans="1:13" x14ac:dyDescent="0.35">
      <c r="A18" s="80">
        <v>17</v>
      </c>
      <c r="B18" s="81" t="s">
        <v>31</v>
      </c>
      <c r="C18" s="82" t="s">
        <v>33</v>
      </c>
      <c r="D18" s="83" t="s">
        <v>824</v>
      </c>
      <c r="E18" s="83" t="s">
        <v>745</v>
      </c>
      <c r="F18" s="78"/>
      <c r="G18" s="84" t="s">
        <v>646</v>
      </c>
      <c r="H18" s="84" t="s">
        <v>799</v>
      </c>
      <c r="I18" s="84" t="s">
        <v>799</v>
      </c>
      <c r="K18" s="84" t="s">
        <v>647</v>
      </c>
      <c r="L18" s="84" t="s">
        <v>331</v>
      </c>
      <c r="M18" s="84" t="s">
        <v>331</v>
      </c>
    </row>
    <row r="19" spans="1:13" x14ac:dyDescent="0.35">
      <c r="A19" s="80">
        <v>18</v>
      </c>
      <c r="B19" s="81" t="s">
        <v>231</v>
      </c>
      <c r="C19" s="82" t="s">
        <v>233</v>
      </c>
      <c r="D19" s="83" t="s">
        <v>825</v>
      </c>
      <c r="E19" s="83" t="s">
        <v>725</v>
      </c>
      <c r="F19" s="78"/>
      <c r="G19" s="84" t="s">
        <v>307</v>
      </c>
      <c r="H19" s="84" t="s">
        <v>826</v>
      </c>
      <c r="I19" s="84" t="s">
        <v>826</v>
      </c>
      <c r="K19" s="84" t="s">
        <v>308</v>
      </c>
      <c r="L19" s="84" t="s">
        <v>255</v>
      </c>
      <c r="M19" s="84" t="s">
        <v>255</v>
      </c>
    </row>
    <row r="20" spans="1:13" x14ac:dyDescent="0.35">
      <c r="A20" s="80">
        <v>19</v>
      </c>
      <c r="B20" s="81" t="s">
        <v>355</v>
      </c>
      <c r="C20" s="82" t="s">
        <v>827</v>
      </c>
      <c r="D20" s="83" t="s">
        <v>828</v>
      </c>
      <c r="E20" s="83" t="s">
        <v>829</v>
      </c>
      <c r="F20" s="78"/>
      <c r="G20" s="84" t="s">
        <v>328</v>
      </c>
      <c r="H20" s="84" t="s">
        <v>830</v>
      </c>
      <c r="I20" s="84" t="s">
        <v>799</v>
      </c>
      <c r="K20" s="84" t="s">
        <v>329</v>
      </c>
      <c r="L20" s="84" t="s">
        <v>330</v>
      </c>
      <c r="M20" s="84" t="s">
        <v>331</v>
      </c>
    </row>
    <row r="21" spans="1:13" x14ac:dyDescent="0.35">
      <c r="A21" s="80">
        <v>20</v>
      </c>
      <c r="B21" s="87" t="s">
        <v>831</v>
      </c>
      <c r="C21" s="41" t="s">
        <v>623</v>
      </c>
      <c r="D21" s="88" t="s">
        <v>832</v>
      </c>
      <c r="E21" s="88" t="s">
        <v>773</v>
      </c>
      <c r="F21" s="78"/>
      <c r="G21" s="84" t="s">
        <v>355</v>
      </c>
      <c r="H21" s="109" t="s">
        <v>826</v>
      </c>
      <c r="I21" s="109" t="s">
        <v>826</v>
      </c>
      <c r="K21" s="84" t="s">
        <v>827</v>
      </c>
      <c r="L21" s="109" t="s">
        <v>255</v>
      </c>
      <c r="M21" s="109" t="s">
        <v>255</v>
      </c>
    </row>
    <row r="22" spans="1:13" x14ac:dyDescent="0.35">
      <c r="A22" s="80">
        <v>21</v>
      </c>
      <c r="B22" s="81" t="s">
        <v>564</v>
      </c>
      <c r="C22" s="82" t="s">
        <v>565</v>
      </c>
      <c r="D22" s="83" t="s">
        <v>833</v>
      </c>
      <c r="E22" s="83" t="s">
        <v>712</v>
      </c>
      <c r="F22" s="78"/>
      <c r="G22" s="84" t="s">
        <v>834</v>
      </c>
      <c r="H22" s="109"/>
      <c r="I22" s="109"/>
      <c r="K22" s="84" t="s">
        <v>835</v>
      </c>
      <c r="L22" s="109" t="e">
        <v>#N/A</v>
      </c>
      <c r="M22" s="109" t="e">
        <v>#N/A</v>
      </c>
    </row>
    <row r="23" spans="1:13" x14ac:dyDescent="0.35">
      <c r="A23" s="80">
        <v>22</v>
      </c>
      <c r="B23" s="81" t="s">
        <v>602</v>
      </c>
      <c r="C23" s="85" t="s">
        <v>351</v>
      </c>
      <c r="D23" s="83" t="s">
        <v>836</v>
      </c>
      <c r="E23" s="83" t="s">
        <v>763</v>
      </c>
      <c r="F23" s="78"/>
      <c r="G23" s="84" t="s">
        <v>831</v>
      </c>
      <c r="H23" s="84" t="s">
        <v>560</v>
      </c>
      <c r="I23" s="84" t="s">
        <v>821</v>
      </c>
      <c r="K23" s="84" t="s">
        <v>623</v>
      </c>
      <c r="L23" s="81" t="s">
        <v>561</v>
      </c>
      <c r="M23" s="81" t="s">
        <v>90</v>
      </c>
    </row>
    <row r="24" spans="1:13" x14ac:dyDescent="0.35">
      <c r="A24" s="80">
        <v>23</v>
      </c>
      <c r="B24" s="81" t="s">
        <v>174</v>
      </c>
      <c r="C24" s="85" t="s">
        <v>175</v>
      </c>
      <c r="D24" s="83" t="s">
        <v>837</v>
      </c>
      <c r="E24" s="83" t="s">
        <v>714</v>
      </c>
      <c r="F24" s="78"/>
      <c r="G24" s="84" t="s">
        <v>564</v>
      </c>
      <c r="H24" s="84" t="s">
        <v>838</v>
      </c>
      <c r="I24" s="84" t="s">
        <v>786</v>
      </c>
      <c r="K24" s="84" t="s">
        <v>565</v>
      </c>
      <c r="L24" s="84" t="s">
        <v>154</v>
      </c>
      <c r="M24" s="84" t="s">
        <v>155</v>
      </c>
    </row>
    <row r="25" spans="1:13" x14ac:dyDescent="0.35">
      <c r="A25" s="80">
        <v>24</v>
      </c>
      <c r="B25" s="81" t="s">
        <v>834</v>
      </c>
      <c r="C25" s="85" t="s">
        <v>835</v>
      </c>
      <c r="D25" s="83" t="s">
        <v>839</v>
      </c>
      <c r="E25" s="83" t="s">
        <v>829</v>
      </c>
      <c r="F25" s="78"/>
      <c r="G25" s="84" t="s">
        <v>602</v>
      </c>
      <c r="H25" s="84" t="s">
        <v>784</v>
      </c>
      <c r="I25" s="84" t="s">
        <v>784</v>
      </c>
      <c r="K25" s="84" t="s">
        <v>351</v>
      </c>
      <c r="L25" s="84" t="s">
        <v>71</v>
      </c>
      <c r="M25" s="84" t="s">
        <v>71</v>
      </c>
    </row>
    <row r="26" spans="1:13" x14ac:dyDescent="0.35">
      <c r="A26" s="80">
        <v>25</v>
      </c>
      <c r="B26" s="81" t="s">
        <v>12</v>
      </c>
      <c r="C26" s="82" t="s">
        <v>13</v>
      </c>
      <c r="D26" s="83" t="s">
        <v>840</v>
      </c>
      <c r="E26" s="83" t="s">
        <v>682</v>
      </c>
      <c r="F26" s="78"/>
      <c r="G26" s="84" t="s">
        <v>174</v>
      </c>
      <c r="H26" s="84" t="s">
        <v>784</v>
      </c>
      <c r="I26" s="84" t="s">
        <v>784</v>
      </c>
      <c r="K26" s="84" t="s">
        <v>175</v>
      </c>
      <c r="L26" s="84" t="s">
        <v>71</v>
      </c>
      <c r="M26" s="84" t="s">
        <v>71</v>
      </c>
    </row>
    <row r="27" spans="1:13" x14ac:dyDescent="0.35">
      <c r="A27" s="80">
        <v>26</v>
      </c>
      <c r="B27" s="81" t="s">
        <v>809</v>
      </c>
      <c r="C27" s="85" t="s">
        <v>810</v>
      </c>
      <c r="D27" s="83" t="s">
        <v>841</v>
      </c>
      <c r="E27" s="83" t="s">
        <v>732</v>
      </c>
      <c r="F27" s="78"/>
      <c r="G27" s="84" t="s">
        <v>12</v>
      </c>
      <c r="H27" s="84" t="s">
        <v>842</v>
      </c>
      <c r="I27" s="84" t="s">
        <v>842</v>
      </c>
      <c r="K27" s="84" t="s">
        <v>13</v>
      </c>
      <c r="L27" s="84" t="s">
        <v>14</v>
      </c>
      <c r="M27" s="84" t="s">
        <v>14</v>
      </c>
    </row>
    <row r="28" spans="1:13" x14ac:dyDescent="0.35">
      <c r="A28" s="80">
        <v>27</v>
      </c>
      <c r="B28" s="81" t="s">
        <v>569</v>
      </c>
      <c r="C28" s="85" t="s">
        <v>570</v>
      </c>
      <c r="D28" s="83" t="s">
        <v>843</v>
      </c>
      <c r="E28" s="83" t="s">
        <v>766</v>
      </c>
      <c r="F28" s="78"/>
      <c r="G28" s="84" t="s">
        <v>569</v>
      </c>
      <c r="H28" s="84" t="s">
        <v>811</v>
      </c>
      <c r="I28" s="84" t="s">
        <v>823</v>
      </c>
      <c r="K28" s="84" t="s">
        <v>570</v>
      </c>
      <c r="L28" s="84" t="s">
        <v>493</v>
      </c>
      <c r="M28" s="84" t="s">
        <v>494</v>
      </c>
    </row>
    <row r="29" spans="1:13" x14ac:dyDescent="0.35">
      <c r="A29" s="80">
        <v>28</v>
      </c>
      <c r="B29" s="81" t="s">
        <v>792</v>
      </c>
      <c r="C29" s="85" t="s">
        <v>793</v>
      </c>
      <c r="D29" s="83" t="s">
        <v>844</v>
      </c>
      <c r="E29" s="83" t="s">
        <v>698</v>
      </c>
      <c r="F29" s="78"/>
      <c r="G29" s="84" t="s">
        <v>152</v>
      </c>
      <c r="H29" s="84" t="s">
        <v>838</v>
      </c>
      <c r="I29" s="84" t="s">
        <v>786</v>
      </c>
      <c r="K29" s="84" t="s">
        <v>153</v>
      </c>
      <c r="L29" s="84" t="s">
        <v>154</v>
      </c>
      <c r="M29" s="84" t="s">
        <v>155</v>
      </c>
    </row>
    <row r="30" spans="1:13" x14ac:dyDescent="0.35">
      <c r="A30" s="80">
        <v>29</v>
      </c>
      <c r="B30" s="81" t="s">
        <v>152</v>
      </c>
      <c r="C30" s="82" t="s">
        <v>153</v>
      </c>
      <c r="D30" s="83" t="s">
        <v>845</v>
      </c>
      <c r="E30" s="83" t="s">
        <v>712</v>
      </c>
      <c r="F30" s="78"/>
      <c r="G30" s="84" t="s">
        <v>180</v>
      </c>
      <c r="H30" s="84" t="s">
        <v>816</v>
      </c>
      <c r="I30" s="84" t="s">
        <v>816</v>
      </c>
      <c r="K30" s="84" t="s">
        <v>181</v>
      </c>
      <c r="L30" s="84" t="s">
        <v>34</v>
      </c>
      <c r="M30" s="84" t="s">
        <v>34</v>
      </c>
    </row>
    <row r="31" spans="1:13" x14ac:dyDescent="0.35">
      <c r="A31" s="80">
        <v>30</v>
      </c>
      <c r="B31" s="81" t="s">
        <v>180</v>
      </c>
      <c r="C31" s="82" t="s">
        <v>181</v>
      </c>
      <c r="D31" s="83" t="s">
        <v>846</v>
      </c>
      <c r="E31" s="83" t="s">
        <v>886</v>
      </c>
      <c r="F31" s="78"/>
      <c r="G31" s="84" t="s">
        <v>302</v>
      </c>
      <c r="H31" s="84" t="s">
        <v>826</v>
      </c>
      <c r="I31" s="84" t="s">
        <v>826</v>
      </c>
      <c r="K31" s="84" t="s">
        <v>254</v>
      </c>
      <c r="L31" s="84" t="s">
        <v>255</v>
      </c>
      <c r="M31" s="84" t="s">
        <v>255</v>
      </c>
    </row>
    <row r="32" spans="1:13" x14ac:dyDescent="0.35">
      <c r="A32" s="80">
        <v>31</v>
      </c>
      <c r="B32" s="81" t="s">
        <v>302</v>
      </c>
      <c r="C32" s="85" t="s">
        <v>254</v>
      </c>
      <c r="D32" s="83" t="s">
        <v>847</v>
      </c>
      <c r="E32" s="83" t="s">
        <v>735</v>
      </c>
      <c r="F32" s="78"/>
      <c r="G32" s="84" t="s">
        <v>560</v>
      </c>
      <c r="H32" s="84" t="s">
        <v>821</v>
      </c>
      <c r="I32" s="84" t="s">
        <v>821</v>
      </c>
      <c r="K32" s="84" t="s">
        <v>561</v>
      </c>
      <c r="L32" s="84" t="s">
        <v>90</v>
      </c>
      <c r="M32" s="84" t="s">
        <v>90</v>
      </c>
    </row>
    <row r="33" spans="1:13" x14ac:dyDescent="0.35">
      <c r="A33" s="80">
        <v>32</v>
      </c>
      <c r="B33" s="81" t="s">
        <v>560</v>
      </c>
      <c r="C33" s="82" t="s">
        <v>561</v>
      </c>
      <c r="D33" s="83" t="s">
        <v>848</v>
      </c>
      <c r="E33" s="83" t="s">
        <v>765</v>
      </c>
      <c r="F33" s="89"/>
      <c r="G33" s="84" t="s">
        <v>99</v>
      </c>
      <c r="H33" s="84" t="s">
        <v>113</v>
      </c>
      <c r="I33" s="84" t="s">
        <v>784</v>
      </c>
      <c r="K33" s="84" t="s">
        <v>100</v>
      </c>
      <c r="L33" s="84" t="s">
        <v>101</v>
      </c>
      <c r="M33" s="84" t="s">
        <v>71</v>
      </c>
    </row>
    <row r="34" spans="1:13" x14ac:dyDescent="0.35">
      <c r="A34" s="80">
        <v>33</v>
      </c>
      <c r="B34" s="81" t="s">
        <v>818</v>
      </c>
      <c r="C34" s="85" t="s">
        <v>819</v>
      </c>
      <c r="D34" s="83" t="s">
        <v>849</v>
      </c>
      <c r="E34" s="83" t="s">
        <v>689</v>
      </c>
      <c r="F34" s="89"/>
      <c r="G34" s="84" t="s">
        <v>850</v>
      </c>
      <c r="H34" s="84" t="s">
        <v>117</v>
      </c>
      <c r="I34" s="84" t="s">
        <v>816</v>
      </c>
      <c r="K34" s="84" t="s">
        <v>118</v>
      </c>
      <c r="L34" s="84" t="s">
        <v>119</v>
      </c>
      <c r="M34" s="84" t="s">
        <v>34</v>
      </c>
    </row>
    <row r="35" spans="1:13" x14ac:dyDescent="0.35">
      <c r="A35" s="80">
        <v>34</v>
      </c>
      <c r="B35" s="81" t="s">
        <v>99</v>
      </c>
      <c r="C35" s="82" t="s">
        <v>100</v>
      </c>
      <c r="D35" s="83" t="s">
        <v>851</v>
      </c>
      <c r="E35" s="83" t="s">
        <v>706</v>
      </c>
      <c r="F35" s="89"/>
      <c r="G35" s="84" t="s">
        <v>852</v>
      </c>
      <c r="H35" s="84" t="s">
        <v>31</v>
      </c>
      <c r="I35" s="84" t="s">
        <v>816</v>
      </c>
      <c r="K35" s="84" t="s">
        <v>408</v>
      </c>
      <c r="L35" s="84" t="s">
        <v>33</v>
      </c>
      <c r="M35" s="84" t="s">
        <v>34</v>
      </c>
    </row>
    <row r="36" spans="1:13" x14ac:dyDescent="0.35">
      <c r="A36" s="80">
        <v>35</v>
      </c>
      <c r="B36" s="81" t="s">
        <v>850</v>
      </c>
      <c r="C36" s="85" t="s">
        <v>118</v>
      </c>
      <c r="D36" s="83" t="s">
        <v>853</v>
      </c>
      <c r="E36" s="83" t="s">
        <v>710</v>
      </c>
      <c r="F36" s="89"/>
      <c r="G36" s="84" t="s">
        <v>337</v>
      </c>
      <c r="H36" s="81" t="s">
        <v>784</v>
      </c>
      <c r="I36" s="81" t="s">
        <v>784</v>
      </c>
      <c r="K36" s="84" t="s">
        <v>338</v>
      </c>
      <c r="L36" s="81" t="s">
        <v>71</v>
      </c>
      <c r="M36" s="81" t="s">
        <v>71</v>
      </c>
    </row>
    <row r="37" spans="1:13" x14ac:dyDescent="0.35">
      <c r="A37" s="80">
        <v>36</v>
      </c>
      <c r="B37" s="81" t="s">
        <v>852</v>
      </c>
      <c r="C37" s="85" t="s">
        <v>408</v>
      </c>
      <c r="D37" s="83" t="s">
        <v>854</v>
      </c>
      <c r="E37" s="83" t="s">
        <v>689</v>
      </c>
      <c r="F37" s="89"/>
      <c r="G37" s="84" t="s">
        <v>855</v>
      </c>
      <c r="H37" s="84" t="s">
        <v>560</v>
      </c>
      <c r="I37" s="84" t="s">
        <v>821</v>
      </c>
      <c r="K37" s="84" t="s">
        <v>620</v>
      </c>
      <c r="L37" s="84" t="s">
        <v>561</v>
      </c>
      <c r="M37" s="84" t="s">
        <v>90</v>
      </c>
    </row>
    <row r="38" spans="1:13" x14ac:dyDescent="0.35">
      <c r="A38" s="80">
        <v>37</v>
      </c>
      <c r="B38" s="81" t="s">
        <v>337</v>
      </c>
      <c r="C38" s="82" t="s">
        <v>338</v>
      </c>
      <c r="D38" s="83" t="s">
        <v>856</v>
      </c>
      <c r="E38" s="83" t="s">
        <v>739</v>
      </c>
      <c r="F38" s="89"/>
      <c r="G38" s="84" t="s">
        <v>56</v>
      </c>
      <c r="H38" s="81" t="s">
        <v>42</v>
      </c>
      <c r="I38" s="81" t="s">
        <v>790</v>
      </c>
      <c r="K38" s="84" t="s">
        <v>57</v>
      </c>
      <c r="L38" s="81" t="s">
        <v>44</v>
      </c>
      <c r="M38" s="81" t="s">
        <v>45</v>
      </c>
    </row>
    <row r="39" spans="1:13" x14ac:dyDescent="0.35">
      <c r="A39" s="80">
        <v>38</v>
      </c>
      <c r="B39" s="81" t="s">
        <v>855</v>
      </c>
      <c r="C39" s="85" t="s">
        <v>620</v>
      </c>
      <c r="D39" s="83" t="s">
        <v>857</v>
      </c>
      <c r="E39" s="83" t="s">
        <v>773</v>
      </c>
      <c r="F39" s="89"/>
      <c r="G39" s="84" t="s">
        <v>360</v>
      </c>
      <c r="H39" s="84" t="s">
        <v>42</v>
      </c>
      <c r="I39" s="84" t="s">
        <v>790</v>
      </c>
      <c r="K39" s="84" t="s">
        <v>253</v>
      </c>
      <c r="L39" s="84" t="s">
        <v>44</v>
      </c>
      <c r="M39" s="84" t="s">
        <v>45</v>
      </c>
    </row>
    <row r="40" spans="1:13" x14ac:dyDescent="0.35">
      <c r="A40" s="80">
        <v>39</v>
      </c>
      <c r="B40" s="81" t="s">
        <v>56</v>
      </c>
      <c r="C40" s="85" t="s">
        <v>57</v>
      </c>
      <c r="D40" s="83" t="s">
        <v>858</v>
      </c>
      <c r="E40" s="83" t="s">
        <v>697</v>
      </c>
      <c r="F40" s="89"/>
      <c r="G40" s="84" t="s">
        <v>859</v>
      </c>
      <c r="H40" s="84" t="s">
        <v>811</v>
      </c>
      <c r="I40" s="84" t="s">
        <v>823</v>
      </c>
      <c r="K40" s="86" t="s">
        <v>860</v>
      </c>
      <c r="L40" s="84" t="s">
        <v>493</v>
      </c>
      <c r="M40" s="84" t="s">
        <v>494</v>
      </c>
    </row>
    <row r="41" spans="1:13" x14ac:dyDescent="0.35">
      <c r="A41" s="80">
        <v>40</v>
      </c>
      <c r="B41" s="81" t="s">
        <v>360</v>
      </c>
      <c r="C41" s="85" t="s">
        <v>253</v>
      </c>
      <c r="D41" s="83" t="s">
        <v>861</v>
      </c>
      <c r="E41" s="83" t="s">
        <v>727</v>
      </c>
      <c r="F41" s="89"/>
      <c r="G41" s="81" t="s">
        <v>191</v>
      </c>
      <c r="H41" s="81" t="s">
        <v>821</v>
      </c>
      <c r="I41" s="81" t="s">
        <v>821</v>
      </c>
      <c r="K41" s="84" t="s">
        <v>89</v>
      </c>
      <c r="L41" s="81" t="s">
        <v>90</v>
      </c>
      <c r="M41" s="81" t="s">
        <v>90</v>
      </c>
    </row>
    <row r="42" spans="1:13" x14ac:dyDescent="0.35">
      <c r="A42" s="80">
        <v>41</v>
      </c>
      <c r="B42" s="81" t="s">
        <v>859</v>
      </c>
      <c r="C42" s="85" t="s">
        <v>860</v>
      </c>
      <c r="D42" s="83" t="s">
        <v>862</v>
      </c>
      <c r="E42" s="83" t="s">
        <v>766</v>
      </c>
      <c r="F42" s="89"/>
      <c r="G42" s="81" t="s">
        <v>863</v>
      </c>
      <c r="H42" s="81" t="s">
        <v>560</v>
      </c>
      <c r="I42" s="81" t="s">
        <v>821</v>
      </c>
      <c r="K42" s="84" t="s">
        <v>626</v>
      </c>
      <c r="L42" s="81" t="s">
        <v>561</v>
      </c>
      <c r="M42" s="81" t="s">
        <v>90</v>
      </c>
    </row>
    <row r="43" spans="1:13" x14ac:dyDescent="0.35">
      <c r="A43" s="80">
        <v>42</v>
      </c>
      <c r="B43" s="81" t="s">
        <v>42</v>
      </c>
      <c r="C43" s="82" t="s">
        <v>44</v>
      </c>
      <c r="D43" s="83" t="s">
        <v>864</v>
      </c>
      <c r="E43" s="83" t="s">
        <v>694</v>
      </c>
      <c r="F43" s="89"/>
      <c r="G43" s="90" t="s">
        <v>635</v>
      </c>
      <c r="H43" s="90" t="s">
        <v>811</v>
      </c>
      <c r="I43" s="90" t="s">
        <v>823</v>
      </c>
      <c r="K43" s="91" t="s">
        <v>636</v>
      </c>
      <c r="L43" s="90" t="s">
        <v>493</v>
      </c>
      <c r="M43" s="90" t="s">
        <v>494</v>
      </c>
    </row>
    <row r="44" spans="1:13" x14ac:dyDescent="0.35">
      <c r="A44" s="80">
        <v>43</v>
      </c>
      <c r="B44" s="81" t="s">
        <v>838</v>
      </c>
      <c r="C44" s="85" t="s">
        <v>154</v>
      </c>
      <c r="D44" s="83" t="s">
        <v>865</v>
      </c>
      <c r="E44" s="83" t="s">
        <v>713</v>
      </c>
      <c r="F44" s="89"/>
      <c r="G44" s="89"/>
      <c r="H44" s="89"/>
      <c r="I44" s="89"/>
    </row>
    <row r="45" spans="1:13" x14ac:dyDescent="0.35">
      <c r="A45" s="80">
        <v>44</v>
      </c>
      <c r="B45" s="81" t="s">
        <v>795</v>
      </c>
      <c r="C45" s="85" t="s">
        <v>796</v>
      </c>
      <c r="D45" s="83" t="s">
        <v>866</v>
      </c>
      <c r="E45" s="83" t="s">
        <v>698</v>
      </c>
      <c r="F45" s="89"/>
      <c r="G45" s="89"/>
      <c r="H45" s="89"/>
      <c r="I45" s="89"/>
    </row>
    <row r="46" spans="1:13" x14ac:dyDescent="0.35">
      <c r="A46" s="80">
        <v>45</v>
      </c>
      <c r="B46" s="81" t="s">
        <v>191</v>
      </c>
      <c r="C46" s="82" t="s">
        <v>89</v>
      </c>
      <c r="D46" s="83" t="s">
        <v>867</v>
      </c>
      <c r="E46" s="83" t="s">
        <v>702</v>
      </c>
      <c r="F46" s="89"/>
      <c r="G46" s="89"/>
      <c r="H46" s="89"/>
      <c r="I46" s="89"/>
    </row>
    <row r="47" spans="1:13" x14ac:dyDescent="0.35">
      <c r="A47" s="80">
        <v>46</v>
      </c>
      <c r="B47" s="81" t="s">
        <v>863</v>
      </c>
      <c r="C47" s="82" t="s">
        <v>626</v>
      </c>
      <c r="D47" s="83" t="s">
        <v>868</v>
      </c>
      <c r="E47" s="83" t="s">
        <v>773</v>
      </c>
      <c r="F47" s="89"/>
      <c r="G47" s="89"/>
      <c r="H47" s="89"/>
      <c r="I47" s="89"/>
    </row>
    <row r="48" spans="1:13" x14ac:dyDescent="0.35">
      <c r="A48" s="80">
        <v>47</v>
      </c>
      <c r="B48" s="81" t="s">
        <v>117</v>
      </c>
      <c r="C48" s="82" t="s">
        <v>119</v>
      </c>
      <c r="D48" s="83" t="s">
        <v>869</v>
      </c>
      <c r="E48" s="83" t="s">
        <v>711</v>
      </c>
      <c r="F48" s="89"/>
      <c r="G48" s="89"/>
      <c r="H48" s="89"/>
      <c r="I48" s="89"/>
    </row>
    <row r="49" spans="1:9" x14ac:dyDescent="0.35">
      <c r="A49" s="73">
        <v>48</v>
      </c>
      <c r="B49" s="81" t="s">
        <v>635</v>
      </c>
      <c r="C49" s="85" t="s">
        <v>636</v>
      </c>
      <c r="D49" s="83" t="s">
        <v>870</v>
      </c>
      <c r="E49" s="83" t="s">
        <v>766</v>
      </c>
      <c r="F49" s="89"/>
      <c r="G49" s="89"/>
      <c r="H49" s="89"/>
      <c r="I49" s="89"/>
    </row>
    <row r="50" spans="1:9" x14ac:dyDescent="0.35">
      <c r="A50" s="92">
        <v>49</v>
      </c>
      <c r="B50" s="90" t="s">
        <v>830</v>
      </c>
      <c r="C50" s="93" t="s">
        <v>330</v>
      </c>
      <c r="D50" s="94" t="s">
        <v>871</v>
      </c>
      <c r="E50" s="94" t="s">
        <v>738</v>
      </c>
      <c r="F50" s="89"/>
      <c r="G50" s="95"/>
    </row>
    <row r="51" spans="1:9" x14ac:dyDescent="0.35">
      <c r="B51" s="81" t="s">
        <v>784</v>
      </c>
      <c r="C51" s="41" t="s">
        <v>71</v>
      </c>
      <c r="D51" t="s">
        <v>872</v>
      </c>
      <c r="E51" s="88" t="s">
        <v>708</v>
      </c>
      <c r="G51" s="95"/>
    </row>
    <row r="52" spans="1:9" x14ac:dyDescent="0.35">
      <c r="B52" s="81" t="s">
        <v>786</v>
      </c>
      <c r="C52" s="41" t="s">
        <v>155</v>
      </c>
      <c r="D52" t="s">
        <v>873</v>
      </c>
      <c r="E52" s="88" t="s">
        <v>721</v>
      </c>
      <c r="F52" s="96"/>
      <c r="G52" s="95"/>
    </row>
    <row r="53" spans="1:9" x14ac:dyDescent="0.35">
      <c r="B53" s="81" t="s">
        <v>799</v>
      </c>
      <c r="C53" s="41" t="s">
        <v>331</v>
      </c>
      <c r="D53" t="s">
        <v>874</v>
      </c>
      <c r="E53" s="88" t="s">
        <v>758</v>
      </c>
      <c r="G53" s="95"/>
      <c r="I53">
        <f>67-49</f>
        <v>18</v>
      </c>
    </row>
    <row r="54" spans="1:9" x14ac:dyDescent="0.35">
      <c r="B54" s="81" t="s">
        <v>790</v>
      </c>
      <c r="C54" s="41" t="s">
        <v>45</v>
      </c>
      <c r="D54" t="s">
        <v>875</v>
      </c>
      <c r="E54" s="88" t="s">
        <v>719</v>
      </c>
      <c r="G54" s="95"/>
    </row>
    <row r="55" spans="1:9" x14ac:dyDescent="0.35">
      <c r="B55" s="81" t="s">
        <v>821</v>
      </c>
      <c r="C55" s="41" t="s">
        <v>90</v>
      </c>
      <c r="D55" t="s">
        <v>876</v>
      </c>
      <c r="E55" s="88" t="s">
        <v>877</v>
      </c>
      <c r="G55" s="95"/>
    </row>
    <row r="56" spans="1:9" x14ac:dyDescent="0.35">
      <c r="B56" s="81" t="s">
        <v>823</v>
      </c>
      <c r="C56" s="41" t="s">
        <v>494</v>
      </c>
      <c r="D56" t="s">
        <v>878</v>
      </c>
      <c r="E56" s="88" t="s">
        <v>879</v>
      </c>
      <c r="G56" s="95"/>
    </row>
    <row r="57" spans="1:9" x14ac:dyDescent="0.35">
      <c r="B57" s="81" t="s">
        <v>826</v>
      </c>
      <c r="C57" s="41" t="s">
        <v>255</v>
      </c>
      <c r="D57" t="s">
        <v>880</v>
      </c>
      <c r="E57" s="88" t="s">
        <v>881</v>
      </c>
      <c r="G57" s="95"/>
    </row>
    <row r="58" spans="1:9" x14ac:dyDescent="0.35">
      <c r="B58" s="81" t="s">
        <v>816</v>
      </c>
      <c r="C58" s="41" t="s">
        <v>34</v>
      </c>
      <c r="D58" t="s">
        <v>882</v>
      </c>
      <c r="E58" s="88" t="s">
        <v>717</v>
      </c>
      <c r="G58" s="95"/>
    </row>
    <row r="59" spans="1:9" x14ac:dyDescent="0.35">
      <c r="B59" s="81" t="s">
        <v>804</v>
      </c>
      <c r="C59" s="41" t="s">
        <v>234</v>
      </c>
      <c r="D59" t="s">
        <v>883</v>
      </c>
      <c r="E59" s="88" t="s">
        <v>884</v>
      </c>
      <c r="G59" s="95"/>
    </row>
    <row r="60" spans="1:9" x14ac:dyDescent="0.35">
      <c r="B60" s="81" t="s">
        <v>842</v>
      </c>
      <c r="C60" s="41" t="s">
        <v>14</v>
      </c>
      <c r="D60" t="s">
        <v>885</v>
      </c>
      <c r="E60" s="88" t="s">
        <v>683</v>
      </c>
    </row>
  </sheetData>
  <mergeCells count="16">
    <mergeCell ref="H4:H6"/>
    <mergeCell ref="I4:I6"/>
    <mergeCell ref="L4:L6"/>
    <mergeCell ref="M4:M6"/>
    <mergeCell ref="H12:H13"/>
    <mergeCell ref="I12:I13"/>
    <mergeCell ref="L12:L13"/>
    <mergeCell ref="M12:M13"/>
    <mergeCell ref="H14:H15"/>
    <mergeCell ref="I14:I15"/>
    <mergeCell ref="L14:L15"/>
    <mergeCell ref="M14:M15"/>
    <mergeCell ref="H21:H22"/>
    <mergeCell ref="I21:I22"/>
    <mergeCell ref="L21:L22"/>
    <mergeCell ref="M21:M22"/>
  </mergeCells>
  <hyperlinks>
    <hyperlink ref="C8" r:id="rId1" xr:uid="{00000000-0004-0000-0200-000000000000}"/>
    <hyperlink ref="C3" r:id="rId2" xr:uid="{00000000-0004-0000-0200-000001000000}"/>
    <hyperlink ref="C9" r:id="rId3" xr:uid="{00000000-0004-0000-0200-000002000000}"/>
    <hyperlink ref="C5" r:id="rId4" xr:uid="{00000000-0004-0000-0200-000003000000}"/>
    <hyperlink ref="C6" r:id="rId5" xr:uid="{00000000-0004-0000-0200-000004000000}"/>
    <hyperlink ref="C12" r:id="rId6" xr:uid="{00000000-0004-0000-0200-000005000000}"/>
    <hyperlink ref="C14" r:id="rId7" xr:uid="{00000000-0004-0000-0200-000006000000}"/>
    <hyperlink ref="C16" r:id="rId8" xr:uid="{00000000-0004-0000-0200-000007000000}"/>
    <hyperlink ref="C13" r:id="rId9" xr:uid="{00000000-0004-0000-0200-000008000000}"/>
    <hyperlink ref="C15" r:id="rId10" xr:uid="{00000000-0004-0000-0200-000009000000}"/>
    <hyperlink ref="C19" r:id="rId11" xr:uid="{00000000-0004-0000-0200-00000A000000}"/>
    <hyperlink ref="C18" r:id="rId12" xr:uid="{00000000-0004-0000-0200-00000B000000}"/>
    <hyperlink ref="C20" r:id="rId13" xr:uid="{00000000-0004-0000-0200-00000C000000}"/>
    <hyperlink ref="C24" r:id="rId14" xr:uid="{00000000-0004-0000-0200-00000D000000}"/>
    <hyperlink ref="C23" r:id="rId15" xr:uid="{00000000-0004-0000-0200-00000E000000}"/>
    <hyperlink ref="C50" r:id="rId16" xr:uid="{00000000-0004-0000-0200-00000F000000}"/>
    <hyperlink ref="C22" r:id="rId17" xr:uid="{00000000-0004-0000-0200-000010000000}"/>
    <hyperlink ref="C26" r:id="rId18" xr:uid="{00000000-0004-0000-0200-000011000000}"/>
    <hyperlink ref="C31" r:id="rId19" xr:uid="{00000000-0004-0000-0200-000012000000}"/>
    <hyperlink ref="C30" r:id="rId20" xr:uid="{00000000-0004-0000-0200-000013000000}"/>
    <hyperlink ref="C33" r:id="rId21" xr:uid="{00000000-0004-0000-0200-000014000000}"/>
    <hyperlink ref="C32" r:id="rId22" xr:uid="{00000000-0004-0000-0200-000015000000}"/>
    <hyperlink ref="C35" r:id="rId23" xr:uid="{00000000-0004-0000-0200-000016000000}"/>
    <hyperlink ref="C38" r:id="rId24" xr:uid="{00000000-0004-0000-0200-000017000000}"/>
    <hyperlink ref="C40" r:id="rId25" xr:uid="{00000000-0004-0000-0200-000018000000}"/>
    <hyperlink ref="C46" r:id="rId26" xr:uid="{00000000-0004-0000-0200-000019000000}"/>
    <hyperlink ref="C47" r:id="rId27" xr:uid="{00000000-0004-0000-0200-00001A000000}"/>
    <hyperlink ref="C48" r:id="rId28" xr:uid="{00000000-0004-0000-0200-00001B000000}"/>
    <hyperlink ref="C49" r:id="rId29" xr:uid="{00000000-0004-0000-0200-00001C000000}"/>
    <hyperlink ref="C43" r:id="rId30" xr:uid="{00000000-0004-0000-0200-00001D000000}"/>
    <hyperlink ref="C2" r:id="rId31" xr:uid="{00000000-0004-0000-0200-00001E000000}"/>
    <hyperlink ref="C51" r:id="rId32" xr:uid="{00000000-0004-0000-0200-00001F000000}"/>
    <hyperlink ref="C52" r:id="rId33" xr:uid="{00000000-0004-0000-0200-000020000000}"/>
    <hyperlink ref="C53" r:id="rId34" xr:uid="{00000000-0004-0000-0200-000021000000}"/>
    <hyperlink ref="C54" r:id="rId35" xr:uid="{00000000-0004-0000-0200-000022000000}"/>
    <hyperlink ref="C55" r:id="rId36" xr:uid="{00000000-0004-0000-0200-000023000000}"/>
    <hyperlink ref="C56" r:id="rId37" xr:uid="{00000000-0004-0000-0200-000024000000}"/>
    <hyperlink ref="C57" r:id="rId38" xr:uid="{00000000-0004-0000-0200-000025000000}"/>
    <hyperlink ref="C58" r:id="rId39" xr:uid="{00000000-0004-0000-0200-000026000000}"/>
    <hyperlink ref="C59" r:id="rId40" xr:uid="{00000000-0004-0000-0200-000027000000}"/>
    <hyperlink ref="C60" r:id="rId41" xr:uid="{00000000-0004-0000-0200-000028000000}"/>
    <hyperlink ref="C45" r:id="rId42" xr:uid="{00000000-0004-0000-0200-000029000000}"/>
    <hyperlink ref="C28" r:id="rId43" xr:uid="{00000000-0004-0000-0200-00002A000000}"/>
    <hyperlink ref="C42" r:id="rId44" xr:uid="{00000000-0004-0000-0200-00002B000000}"/>
    <hyperlink ref="C10" r:id="rId45" xr:uid="{00000000-0004-0000-0200-00002C000000}"/>
    <hyperlink ref="C27" r:id="rId46" xr:uid="{00000000-0004-0000-0200-00002D000000}"/>
    <hyperlink ref="C7" r:id="rId47" xr:uid="{00000000-0004-0000-0200-00002E000000}"/>
    <hyperlink ref="C37" r:id="rId48" xr:uid="{00000000-0004-0000-0200-00002F000000}"/>
    <hyperlink ref="C11" r:id="rId49" xr:uid="{00000000-0004-0000-0200-000030000000}"/>
    <hyperlink ref="C34" r:id="rId50" xr:uid="{00000000-0004-0000-0200-000031000000}"/>
    <hyperlink ref="C4" r:id="rId51" xr:uid="{00000000-0004-0000-0200-000032000000}"/>
    <hyperlink ref="C29" r:id="rId52" xr:uid="{00000000-0004-0000-0200-000033000000}"/>
    <hyperlink ref="C25" r:id="rId53" xr:uid="{00000000-0004-0000-0200-000034000000}"/>
    <hyperlink ref="C39" r:id="rId54" xr:uid="{00000000-0004-0000-0200-000035000000}"/>
    <hyperlink ref="C41" r:id="rId55" xr:uid="{00000000-0004-0000-0200-000036000000}"/>
    <hyperlink ref="C36" r:id="rId56" xr:uid="{00000000-0004-0000-0200-000037000000}"/>
    <hyperlink ref="C17" r:id="rId57" xr:uid="{00000000-0004-0000-0200-000038000000}"/>
    <hyperlink ref="C44" r:id="rId58" xr:uid="{00000000-0004-0000-0200-000039000000}"/>
    <hyperlink ref="K17" r:id="rId59" xr:uid="{00000000-0004-0000-0200-00003A000000}"/>
    <hyperlink ref="K43" r:id="rId60" xr:uid="{00000000-0004-0000-0200-00003B000000}"/>
    <hyperlink ref="C21" r:id="rId61" xr:uid="{00000000-0004-0000-0200-00003C000000}"/>
    <hyperlink ref="K23" r:id="rId62" xr:uid="{00000000-0004-0000-0200-00003D000000}"/>
    <hyperlink ref="K40" r:id="rId63" xr:uid="{00000000-0004-0000-0200-00003E000000}"/>
  </hyperlinks>
  <pageMargins left="0.7" right="0.7" top="0.75" bottom="0.75" header="0.3" footer="0.3"/>
  <pageSetup paperSize="9" orientation="portrait" horizontalDpi="4294967293" verticalDpi="0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Matrik Approval_OLD</vt:lpstr>
      <vt:lpstr>Matrik Approval NEW</vt:lpstr>
      <vt:lpstr>list PIC</vt:lpstr>
      <vt:lpstr>'Matrik Approval NEW'!Print_Area</vt:lpstr>
      <vt:lpstr>'Matrik Approval_OLD'!Print_Area</vt:lpstr>
      <vt:lpstr>'Matrik Approval NEW'!Print_Titles</vt:lpstr>
      <vt:lpstr>'Matrik Approval_OLD'!Print_Titles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Pamungkas</dc:creator>
  <cp:lastModifiedBy>xeo exo</cp:lastModifiedBy>
  <dcterms:created xsi:type="dcterms:W3CDTF">2026-08-19T07:00:53Z</dcterms:created>
  <dcterms:modified xsi:type="dcterms:W3CDTF">2026-09-03T01:30:27Z</dcterms:modified>
</cp:coreProperties>
</file>